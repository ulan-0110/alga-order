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lana\Downloads\"/>
    </mc:Choice>
  </mc:AlternateContent>
  <xr:revisionPtr revIDLastSave="0" documentId="8_{DA06DBA9-4304-4CA4-A575-4E3466AAED9E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заказ-order" sheetId="6" r:id="rId1"/>
    <sheet name="логист.данные  logistic dim" sheetId="8" r:id="rId2"/>
    <sheet name="логист.данные  logistic dimenst" sheetId="4" state="hidden" r:id="rId3"/>
  </sheets>
  <definedNames>
    <definedName name="_xlnm._FilterDatabase" localSheetId="0" hidden="1">'заказ-order'!$A$4:$U$347</definedName>
    <definedName name="_xlnm.Print_Area" localSheetId="0">'заказ-order'!$A$1:$G$356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6" i="6" l="1"/>
  <c r="D191" i="6"/>
  <c r="F351" i="6"/>
  <c r="E303" i="6"/>
  <c r="D307" i="6"/>
  <c r="D249" i="6"/>
  <c r="E248" i="6"/>
  <c r="D198" i="6"/>
  <c r="H198" i="6" s="1"/>
  <c r="D193" i="6"/>
  <c r="H193" i="6" s="1"/>
  <c r="D192" i="6"/>
  <c r="H192" i="6" s="1"/>
  <c r="D178" i="6"/>
  <c r="H178" i="6" s="1"/>
  <c r="G13" i="8"/>
  <c r="E212" i="6"/>
  <c r="E330" i="6"/>
  <c r="F352" i="6" l="1"/>
  <c r="H249" i="6"/>
  <c r="J56" i="8"/>
  <c r="K56" i="8" s="1"/>
  <c r="J55" i="8"/>
  <c r="L55" i="8" s="1"/>
  <c r="J53" i="8"/>
  <c r="M53" i="8" s="1"/>
  <c r="J54" i="8"/>
  <c r="K54" i="8" s="1"/>
  <c r="J52" i="8"/>
  <c r="K52" i="8" s="1"/>
  <c r="G54" i="8"/>
  <c r="G53" i="8"/>
  <c r="G55" i="8"/>
  <c r="G52" i="8"/>
  <c r="G56" i="8"/>
  <c r="D154" i="6"/>
  <c r="H154" i="6" s="1"/>
  <c r="L54" i="8" l="1"/>
  <c r="M54" i="8"/>
  <c r="K53" i="8"/>
  <c r="L53" i="8"/>
  <c r="K55" i="8"/>
  <c r="M55" i="8"/>
  <c r="L52" i="8"/>
  <c r="M52" i="8"/>
  <c r="L56" i="8"/>
  <c r="M56" i="8"/>
  <c r="D254" i="6"/>
  <c r="H254" i="6" s="1"/>
  <c r="D253" i="6"/>
  <c r="H253" i="6" s="1"/>
  <c r="D252" i="6"/>
  <c r="H252" i="6" s="1"/>
  <c r="D251" i="6"/>
  <c r="H251" i="6" s="1"/>
  <c r="D250" i="6"/>
  <c r="E112" i="6"/>
  <c r="D110" i="6"/>
  <c r="D109" i="6"/>
  <c r="D108" i="6"/>
  <c r="E107" i="6"/>
  <c r="J72" i="8"/>
  <c r="E5" i="6"/>
  <c r="J32" i="8"/>
  <c r="J31" i="8"/>
  <c r="J30" i="8"/>
  <c r="J34" i="8"/>
  <c r="J33" i="8"/>
  <c r="J73" i="8"/>
  <c r="D349" i="6"/>
  <c r="H349" i="6" s="1"/>
  <c r="G43" i="8"/>
  <c r="J43" i="8"/>
  <c r="M43" i="8" s="1"/>
  <c r="D221" i="6"/>
  <c r="H221" i="6" s="1"/>
  <c r="D90" i="6"/>
  <c r="D91" i="6"/>
  <c r="E89" i="6"/>
  <c r="J8" i="8" s="1"/>
  <c r="J7" i="8"/>
  <c r="H250" i="6" l="1"/>
  <c r="H248" i="6" s="1"/>
  <c r="D248" i="6"/>
  <c r="J13" i="8"/>
  <c r="D107" i="6"/>
  <c r="H107" i="6" s="1"/>
  <c r="L43" i="8"/>
  <c r="K43" i="8"/>
  <c r="D89" i="6"/>
  <c r="H89" i="6" s="1"/>
  <c r="G62" i="8"/>
  <c r="K30" i="8"/>
  <c r="M31" i="8"/>
  <c r="M33" i="8"/>
  <c r="K34" i="8"/>
  <c r="D298" i="6"/>
  <c r="H298" i="6" s="1"/>
  <c r="G30" i="8"/>
  <c r="G31" i="8"/>
  <c r="G32" i="8"/>
  <c r="G33" i="8"/>
  <c r="G34" i="8"/>
  <c r="G60" i="8"/>
  <c r="G27" i="8"/>
  <c r="G28" i="8"/>
  <c r="G57" i="8"/>
  <c r="G58" i="8"/>
  <c r="G59" i="8"/>
  <c r="G61" i="8"/>
  <c r="G63" i="8"/>
  <c r="G64" i="8"/>
  <c r="G65" i="8"/>
  <c r="G66" i="8"/>
  <c r="G67" i="8"/>
  <c r="G73" i="8"/>
  <c r="G68" i="8"/>
  <c r="G69" i="8"/>
  <c r="G70" i="8"/>
  <c r="G71" i="8"/>
  <c r="G72" i="8"/>
  <c r="J67" i="8"/>
  <c r="M67" i="8" s="1"/>
  <c r="D208" i="6"/>
  <c r="H208" i="6" s="1"/>
  <c r="D210" i="6"/>
  <c r="H210" i="6" s="1"/>
  <c r="D206" i="6"/>
  <c r="H206" i="6" s="1"/>
  <c r="D207" i="6"/>
  <c r="H207" i="6" s="1"/>
  <c r="D209" i="6"/>
  <c r="H209" i="6" s="1"/>
  <c r="D339" i="6"/>
  <c r="H339" i="6" s="1"/>
  <c r="D331" i="6"/>
  <c r="D332" i="6"/>
  <c r="D333" i="6"/>
  <c r="D334" i="6"/>
  <c r="D335" i="6"/>
  <c r="D336" i="6"/>
  <c r="D337" i="6"/>
  <c r="D322" i="6"/>
  <c r="D323" i="6"/>
  <c r="D324" i="6"/>
  <c r="D325" i="6"/>
  <c r="D326" i="6"/>
  <c r="D327" i="6"/>
  <c r="D328" i="6"/>
  <c r="D313" i="6"/>
  <c r="D314" i="6"/>
  <c r="D315" i="6"/>
  <c r="D316" i="6"/>
  <c r="D317" i="6"/>
  <c r="D318" i="6"/>
  <c r="D319" i="6"/>
  <c r="D310" i="6"/>
  <c r="H310" i="6" s="1"/>
  <c r="D343" i="6"/>
  <c r="H343" i="6" s="1"/>
  <c r="D344" i="6"/>
  <c r="H344" i="6" s="1"/>
  <c r="D345" i="6"/>
  <c r="H345" i="6" s="1"/>
  <c r="D346" i="6"/>
  <c r="H346" i="6" s="1"/>
  <c r="D347" i="6"/>
  <c r="H347" i="6" s="1"/>
  <c r="D257" i="6"/>
  <c r="D258" i="6"/>
  <c r="D259" i="6"/>
  <c r="D260" i="6"/>
  <c r="D261" i="6"/>
  <c r="D262" i="6"/>
  <c r="D263" i="6"/>
  <c r="D264" i="6"/>
  <c r="D265" i="6"/>
  <c r="D266" i="6"/>
  <c r="D245" i="6"/>
  <c r="D246" i="6"/>
  <c r="D127" i="6"/>
  <c r="D128" i="6"/>
  <c r="D129" i="6"/>
  <c r="D130" i="6"/>
  <c r="D131" i="6"/>
  <c r="D132" i="6"/>
  <c r="D117" i="6"/>
  <c r="D118" i="6"/>
  <c r="D113" i="6"/>
  <c r="D114" i="6"/>
  <c r="D115" i="6"/>
  <c r="D116" i="6"/>
  <c r="D202" i="6"/>
  <c r="H202" i="6" s="1"/>
  <c r="D203" i="6"/>
  <c r="H203" i="6" s="1"/>
  <c r="D95" i="6"/>
  <c r="H95" i="6" s="1"/>
  <c r="E191" i="6"/>
  <c r="E196" i="6"/>
  <c r="H196" i="6" s="1"/>
  <c r="D224" i="6"/>
  <c r="H224" i="6" s="1"/>
  <c r="D225" i="6"/>
  <c r="H225" i="6" s="1"/>
  <c r="D226" i="6"/>
  <c r="H226" i="6" s="1"/>
  <c r="D227" i="6"/>
  <c r="H227" i="6" s="1"/>
  <c r="D213" i="6"/>
  <c r="D214" i="6"/>
  <c r="H214" i="6" s="1"/>
  <c r="D215" i="6"/>
  <c r="H215" i="6" s="1"/>
  <c r="D216" i="6"/>
  <c r="H216" i="6" s="1"/>
  <c r="D217" i="6"/>
  <c r="H217" i="6" s="1"/>
  <c r="D218" i="6"/>
  <c r="H218" i="6" s="1"/>
  <c r="D219" i="6"/>
  <c r="H219" i="6" s="1"/>
  <c r="D220" i="6"/>
  <c r="H220" i="6" s="1"/>
  <c r="D230" i="6"/>
  <c r="D231" i="6"/>
  <c r="D232" i="6"/>
  <c r="D233" i="6"/>
  <c r="D234" i="6"/>
  <c r="D141" i="6"/>
  <c r="D142" i="6"/>
  <c r="D143" i="6"/>
  <c r="D144" i="6"/>
  <c r="D273" i="6"/>
  <c r="D274" i="6"/>
  <c r="D269" i="6"/>
  <c r="D270" i="6"/>
  <c r="D105" i="6"/>
  <c r="D104" i="6" s="1"/>
  <c r="H104" i="6" s="1"/>
  <c r="D98" i="6"/>
  <c r="D99" i="6"/>
  <c r="D100" i="6"/>
  <c r="D101" i="6"/>
  <c r="D102" i="6"/>
  <c r="D85" i="6"/>
  <c r="H85" i="6" s="1"/>
  <c r="D86" i="6"/>
  <c r="H86" i="6" s="1"/>
  <c r="D80" i="6"/>
  <c r="D81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236" i="6"/>
  <c r="H236" i="6" s="1"/>
  <c r="D304" i="6"/>
  <c r="D305" i="6"/>
  <c r="D306" i="6"/>
  <c r="D308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93" i="6"/>
  <c r="H93" i="6" s="1"/>
  <c r="D135" i="6"/>
  <c r="D136" i="6"/>
  <c r="D137" i="6"/>
  <c r="D138" i="6"/>
  <c r="D292" i="6"/>
  <c r="H292" i="6" s="1"/>
  <c r="D293" i="6"/>
  <c r="H293" i="6" s="1"/>
  <c r="D294" i="6"/>
  <c r="H294" i="6" s="1"/>
  <c r="D295" i="6"/>
  <c r="H295" i="6" s="1"/>
  <c r="D296" i="6"/>
  <c r="H296" i="6" s="1"/>
  <c r="D297" i="6"/>
  <c r="H297" i="6" s="1"/>
  <c r="D299" i="6"/>
  <c r="H299" i="6" s="1"/>
  <c r="D300" i="6"/>
  <c r="H300" i="6" s="1"/>
  <c r="D301" i="6"/>
  <c r="H301" i="6" s="1"/>
  <c r="D239" i="6"/>
  <c r="D240" i="6"/>
  <c r="D241" i="6"/>
  <c r="D242" i="6"/>
  <c r="D121" i="6"/>
  <c r="D122" i="6"/>
  <c r="D123" i="6"/>
  <c r="D124" i="6"/>
  <c r="D147" i="6"/>
  <c r="H147" i="6" s="1"/>
  <c r="D148" i="6"/>
  <c r="H148" i="6" s="1"/>
  <c r="D149" i="6"/>
  <c r="H149" i="6" s="1"/>
  <c r="D187" i="6"/>
  <c r="D188" i="6"/>
  <c r="H188" i="6" s="1"/>
  <c r="D189" i="6"/>
  <c r="H189" i="6" s="1"/>
  <c r="D176" i="6"/>
  <c r="H176" i="6" s="1"/>
  <c r="D177" i="6"/>
  <c r="D179" i="6"/>
  <c r="H179" i="6" s="1"/>
  <c r="D170" i="6"/>
  <c r="H170" i="6" s="1"/>
  <c r="D171" i="6"/>
  <c r="H171" i="6" s="1"/>
  <c r="D172" i="6"/>
  <c r="H172" i="6" s="1"/>
  <c r="D173" i="6"/>
  <c r="H173" i="6" s="1"/>
  <c r="D182" i="6"/>
  <c r="D183" i="6"/>
  <c r="H183" i="6" s="1"/>
  <c r="D184" i="6"/>
  <c r="H184" i="6" s="1"/>
  <c r="D164" i="6"/>
  <c r="H164" i="6" s="1"/>
  <c r="D165" i="6"/>
  <c r="H165" i="6" s="1"/>
  <c r="D166" i="6"/>
  <c r="H166" i="6" s="1"/>
  <c r="D167" i="6"/>
  <c r="H167" i="6" s="1"/>
  <c r="D158" i="6"/>
  <c r="D159" i="6"/>
  <c r="H159" i="6" s="1"/>
  <c r="D160" i="6"/>
  <c r="H160" i="6" s="1"/>
  <c r="D161" i="6"/>
  <c r="H161" i="6" s="1"/>
  <c r="D152" i="6"/>
  <c r="H152" i="6" s="1"/>
  <c r="D153" i="6"/>
  <c r="H153" i="6" s="1"/>
  <c r="D155" i="6"/>
  <c r="H155" i="6" s="1"/>
  <c r="E342" i="6"/>
  <c r="J66" i="8"/>
  <c r="E321" i="6"/>
  <c r="J65" i="8" s="1"/>
  <c r="L65" i="8" s="1"/>
  <c r="E312" i="6"/>
  <c r="J64" i="8" s="1"/>
  <c r="M64" i="8" s="1"/>
  <c r="E272" i="6"/>
  <c r="J59" i="8" s="1"/>
  <c r="E268" i="6"/>
  <c r="J58" i="8" s="1"/>
  <c r="M58" i="8" s="1"/>
  <c r="E256" i="6"/>
  <c r="J57" i="8" s="1"/>
  <c r="E244" i="6"/>
  <c r="E223" i="6"/>
  <c r="E140" i="6"/>
  <c r="J18" i="8" s="1"/>
  <c r="E126" i="6"/>
  <c r="J16" i="8" s="1"/>
  <c r="K16" i="8" s="1"/>
  <c r="E104" i="6"/>
  <c r="J12" i="8" s="1"/>
  <c r="M12" i="8" s="1"/>
  <c r="E201" i="6"/>
  <c r="J29" i="8" s="1"/>
  <c r="M29" i="8" s="1"/>
  <c r="J14" i="8"/>
  <c r="E229" i="6"/>
  <c r="J48" i="8" s="1"/>
  <c r="E97" i="6"/>
  <c r="J11" i="8" s="1"/>
  <c r="M11" i="8" s="1"/>
  <c r="E84" i="6"/>
  <c r="E79" i="6"/>
  <c r="J5" i="8" s="1"/>
  <c r="E47" i="6"/>
  <c r="J4" i="8" s="1"/>
  <c r="J3" i="8"/>
  <c r="J62" i="8"/>
  <c r="E276" i="6"/>
  <c r="J60" i="8" s="1"/>
  <c r="E205" i="6"/>
  <c r="E134" i="6"/>
  <c r="J17" i="8" s="1"/>
  <c r="E238" i="6"/>
  <c r="J50" i="8" s="1"/>
  <c r="E120" i="6"/>
  <c r="J15" i="8" s="1"/>
  <c r="K15" i="8" s="1"/>
  <c r="E291" i="6"/>
  <c r="J61" i="8" s="1"/>
  <c r="E146" i="6"/>
  <c r="J19" i="8" s="1"/>
  <c r="E186" i="6"/>
  <c r="J26" i="8" s="1"/>
  <c r="E175" i="6"/>
  <c r="J24" i="8" s="1"/>
  <c r="M24" i="8" s="1"/>
  <c r="E169" i="6"/>
  <c r="J23" i="8" s="1"/>
  <c r="M23" i="8" s="1"/>
  <c r="E181" i="6"/>
  <c r="J25" i="8" s="1"/>
  <c r="E163" i="6"/>
  <c r="J22" i="8" s="1"/>
  <c r="E157" i="6"/>
  <c r="J21" i="8" s="1"/>
  <c r="E151" i="6"/>
  <c r="J20" i="8" s="1"/>
  <c r="D199" i="6"/>
  <c r="H199" i="6" s="1"/>
  <c r="G26" i="8"/>
  <c r="G23" i="8"/>
  <c r="G24" i="8"/>
  <c r="G22" i="8"/>
  <c r="G25" i="8"/>
  <c r="D194" i="6"/>
  <c r="H194" i="6" s="1"/>
  <c r="D197" i="6"/>
  <c r="H197" i="6" s="1"/>
  <c r="J37" i="8"/>
  <c r="M37" i="8" s="1"/>
  <c r="G37" i="8"/>
  <c r="G21" i="8"/>
  <c r="G9" i="8"/>
  <c r="J9" i="8"/>
  <c r="M9" i="8" s="1"/>
  <c r="G20" i="8"/>
  <c r="J63" i="8"/>
  <c r="M63" i="8" s="1"/>
  <c r="G15" i="8"/>
  <c r="M72" i="8"/>
  <c r="G50" i="8"/>
  <c r="M8" i="8"/>
  <c r="G8" i="8"/>
  <c r="G17" i="8"/>
  <c r="G19" i="8"/>
  <c r="J49" i="8"/>
  <c r="L49" i="8" s="1"/>
  <c r="G49" i="8"/>
  <c r="G47" i="8"/>
  <c r="G7" i="8"/>
  <c r="G6" i="8"/>
  <c r="G3" i="8"/>
  <c r="M73" i="8"/>
  <c r="M7" i="8"/>
  <c r="J71" i="8"/>
  <c r="M71" i="8" s="1"/>
  <c r="J70" i="8"/>
  <c r="K70" i="8" s="1"/>
  <c r="J69" i="8"/>
  <c r="K69" i="8" s="1"/>
  <c r="J68" i="8"/>
  <c r="L68" i="8" s="1"/>
  <c r="J47" i="8"/>
  <c r="L47" i="8" s="1"/>
  <c r="J45" i="8"/>
  <c r="M45" i="8" s="1"/>
  <c r="J46" i="8"/>
  <c r="M46" i="8" s="1"/>
  <c r="J44" i="8"/>
  <c r="M44" i="8" s="1"/>
  <c r="J42" i="8"/>
  <c r="M42" i="8" s="1"/>
  <c r="J41" i="8"/>
  <c r="K41" i="8" s="1"/>
  <c r="J40" i="8"/>
  <c r="K40" i="8" s="1"/>
  <c r="J39" i="8"/>
  <c r="M39" i="8" s="1"/>
  <c r="J38" i="8"/>
  <c r="K38" i="8" s="1"/>
  <c r="J36" i="8"/>
  <c r="K36" i="8" s="1"/>
  <c r="J35" i="8"/>
  <c r="L35" i="8" s="1"/>
  <c r="J10" i="8"/>
  <c r="L10" i="8" s="1"/>
  <c r="J6" i="8"/>
  <c r="L6" i="8" s="1"/>
  <c r="G4" i="8"/>
  <c r="G16" i="8"/>
  <c r="G11" i="8"/>
  <c r="G10" i="8"/>
  <c r="G18" i="8"/>
  <c r="G14" i="8"/>
  <c r="G48" i="8"/>
  <c r="G12" i="8"/>
  <c r="G51" i="8"/>
  <c r="G5" i="8"/>
  <c r="G35" i="8"/>
  <c r="G36" i="8"/>
  <c r="G38" i="8"/>
  <c r="G39" i="8"/>
  <c r="G40" i="8"/>
  <c r="G41" i="8"/>
  <c r="G42" i="8"/>
  <c r="G44" i="8"/>
  <c r="G46" i="8"/>
  <c r="G45" i="8"/>
  <c r="G29" i="8"/>
  <c r="L7" i="8"/>
  <c r="K7" i="8"/>
  <c r="C68" i="4"/>
  <c r="C69" i="4"/>
  <c r="C70" i="4"/>
  <c r="C71" i="4"/>
  <c r="C67" i="4"/>
  <c r="C64" i="4"/>
  <c r="C65" i="4"/>
  <c r="C66" i="4"/>
  <c r="C63" i="4"/>
  <c r="C60" i="4"/>
  <c r="C61" i="4"/>
  <c r="C62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36" i="4"/>
  <c r="C37" i="4"/>
  <c r="C38" i="4"/>
  <c r="C39" i="4"/>
  <c r="C40" i="4"/>
  <c r="C41" i="4"/>
  <c r="C42" i="4"/>
  <c r="C35" i="4"/>
  <c r="C34" i="4"/>
  <c r="C33" i="4"/>
  <c r="C32" i="4"/>
  <c r="A4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C27" i="4"/>
  <c r="C28" i="4"/>
  <c r="C29" i="4"/>
  <c r="C30" i="4"/>
  <c r="C31" i="4"/>
  <c r="C22" i="4"/>
  <c r="C23" i="4"/>
  <c r="C24" i="4"/>
  <c r="C25" i="4"/>
  <c r="C26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M37" i="4"/>
  <c r="M20" i="4"/>
  <c r="G5" i="4"/>
  <c r="G4" i="4"/>
  <c r="G3" i="4"/>
  <c r="I5" i="4"/>
  <c r="J5" i="4" s="1"/>
  <c r="I3" i="4"/>
  <c r="L3" i="4" s="1"/>
  <c r="L72" i="4" s="1"/>
  <c r="H213" i="6" l="1"/>
  <c r="D212" i="6"/>
  <c r="M13" i="8"/>
  <c r="K13" i="8"/>
  <c r="L13" i="8"/>
  <c r="D112" i="6"/>
  <c r="H112" i="6" s="1"/>
  <c r="H191" i="6"/>
  <c r="J27" i="8"/>
  <c r="M27" i="8" s="1"/>
  <c r="L30" i="8"/>
  <c r="L69" i="8"/>
  <c r="K46" i="8"/>
  <c r="K44" i="8"/>
  <c r="L15" i="8"/>
  <c r="K35" i="8"/>
  <c r="I72" i="4"/>
  <c r="J3" i="4"/>
  <c r="J72" i="4" s="1"/>
  <c r="L46" i="8"/>
  <c r="M17" i="8"/>
  <c r="L17" i="8"/>
  <c r="L16" i="8"/>
  <c r="D169" i="6"/>
  <c r="H169" i="6" s="1"/>
  <c r="M69" i="8"/>
  <c r="K72" i="8"/>
  <c r="D244" i="6"/>
  <c r="H244" i="6" s="1"/>
  <c r="L18" i="8"/>
  <c r="M18" i="8"/>
  <c r="K18" i="8"/>
  <c r="K10" i="8"/>
  <c r="K37" i="8"/>
  <c r="K8" i="8"/>
  <c r="D146" i="6"/>
  <c r="H146" i="6" s="1"/>
  <c r="D268" i="6"/>
  <c r="H268" i="6" s="1"/>
  <c r="M68" i="8"/>
  <c r="M16" i="8"/>
  <c r="D157" i="6"/>
  <c r="H157" i="6" s="1"/>
  <c r="D229" i="6"/>
  <c r="H229" i="6" s="1"/>
  <c r="D126" i="6"/>
  <c r="H126" i="6" s="1"/>
  <c r="K47" i="8"/>
  <c r="D303" i="6"/>
  <c r="H303" i="6" s="1"/>
  <c r="L34" i="8"/>
  <c r="M15" i="8"/>
  <c r="D312" i="6"/>
  <c r="H312" i="6" s="1"/>
  <c r="K24" i="8"/>
  <c r="D140" i="6"/>
  <c r="H140" i="6" s="1"/>
  <c r="D342" i="6"/>
  <c r="D272" i="6"/>
  <c r="H272" i="6" s="1"/>
  <c r="L24" i="8"/>
  <c r="D181" i="6"/>
  <c r="H181" i="6" s="1"/>
  <c r="M6" i="8"/>
  <c r="L40" i="8"/>
  <c r="L9" i="8"/>
  <c r="K29" i="8"/>
  <c r="L29" i="8"/>
  <c r="M49" i="8"/>
  <c r="K6" i="8"/>
  <c r="M10" i="8"/>
  <c r="K68" i="8"/>
  <c r="M36" i="8"/>
  <c r="L11" i="8"/>
  <c r="L63" i="8"/>
  <c r="M61" i="8"/>
  <c r="K61" i="8"/>
  <c r="K14" i="8"/>
  <c r="L14" i="8"/>
  <c r="M22" i="8"/>
  <c r="L22" i="8"/>
  <c r="K22" i="8"/>
  <c r="L3" i="8"/>
  <c r="K3" i="8"/>
  <c r="M3" i="8"/>
  <c r="M4" i="8"/>
  <c r="L4" i="8"/>
  <c r="M59" i="8"/>
  <c r="K59" i="8"/>
  <c r="L59" i="8"/>
  <c r="L42" i="8"/>
  <c r="M35" i="8"/>
  <c r="M41" i="8"/>
  <c r="K49" i="8"/>
  <c r="L8" i="8"/>
  <c r="K9" i="8"/>
  <c r="D79" i="6"/>
  <c r="H79" i="6" s="1"/>
  <c r="D97" i="6"/>
  <c r="H97" i="6" s="1"/>
  <c r="H291" i="6"/>
  <c r="K12" i="8"/>
  <c r="K64" i="8"/>
  <c r="J51" i="8"/>
  <c r="K51" i="8" s="1"/>
  <c r="H158" i="6"/>
  <c r="D151" i="6"/>
  <c r="H151" i="6" s="1"/>
  <c r="D163" i="6"/>
  <c r="H163" i="6" s="1"/>
  <c r="D134" i="6"/>
  <c r="H134" i="6" s="1"/>
  <c r="D330" i="6"/>
  <c r="H330" i="6" s="1"/>
  <c r="D256" i="6"/>
  <c r="H256" i="6" s="1"/>
  <c r="I4" i="4"/>
  <c r="M40" i="8"/>
  <c r="L41" i="8"/>
  <c r="K63" i="8"/>
  <c r="D223" i="6"/>
  <c r="D238" i="6"/>
  <c r="H238" i="6" s="1"/>
  <c r="D5" i="6"/>
  <c r="H5" i="6" s="1"/>
  <c r="D186" i="6"/>
  <c r="H186" i="6" s="1"/>
  <c r="D47" i="6"/>
  <c r="H47" i="6" s="1"/>
  <c r="L5" i="4"/>
  <c r="K42" i="8"/>
  <c r="K45" i="8"/>
  <c r="L45" i="8"/>
  <c r="L72" i="8"/>
  <c r="D175" i="6"/>
  <c r="H175" i="6" s="1"/>
  <c r="D321" i="6"/>
  <c r="H321" i="6" s="1"/>
  <c r="D120" i="6"/>
  <c r="H120" i="6" s="1"/>
  <c r="H223" i="6"/>
  <c r="L71" i="8"/>
  <c r="H187" i="6"/>
  <c r="D205" i="6"/>
  <c r="D201" i="6"/>
  <c r="H201" i="6" s="1"/>
  <c r="K48" i="8"/>
  <c r="M48" i="8"/>
  <c r="L48" i="8"/>
  <c r="M20" i="8"/>
  <c r="L20" i="8"/>
  <c r="K20" i="8"/>
  <c r="K32" i="8"/>
  <c r="L32" i="8"/>
  <c r="M32" i="8"/>
  <c r="H342" i="6"/>
  <c r="K19" i="8"/>
  <c r="L19" i="8"/>
  <c r="M19" i="8"/>
  <c r="L66" i="8"/>
  <c r="M66" i="8"/>
  <c r="K66" i="8"/>
  <c r="M21" i="8"/>
  <c r="L21" i="8"/>
  <c r="K21" i="8"/>
  <c r="M57" i="8"/>
  <c r="L57" i="8"/>
  <c r="K57" i="8"/>
  <c r="M25" i="8"/>
  <c r="L25" i="8"/>
  <c r="K25" i="8"/>
  <c r="M50" i="8"/>
  <c r="K50" i="8"/>
  <c r="L50" i="8"/>
  <c r="H84" i="6"/>
  <c r="H212" i="6"/>
  <c r="H205" i="6"/>
  <c r="K5" i="8"/>
  <c r="M5" i="8"/>
  <c r="L5" i="8"/>
  <c r="M26" i="8"/>
  <c r="L26" i="8"/>
  <c r="K26" i="8"/>
  <c r="K11" i="8"/>
  <c r="K71" i="8"/>
  <c r="L58" i="8"/>
  <c r="L64" i="8"/>
  <c r="L36" i="8"/>
  <c r="K58" i="8"/>
  <c r="H182" i="6"/>
  <c r="K23" i="8"/>
  <c r="D84" i="6"/>
  <c r="L33" i="8"/>
  <c r="L31" i="8"/>
  <c r="K65" i="8"/>
  <c r="L39" i="8"/>
  <c r="L23" i="8"/>
  <c r="K33" i="8"/>
  <c r="K31" i="8"/>
  <c r="K4" i="8"/>
  <c r="M65" i="8"/>
  <c r="K73" i="8"/>
  <c r="K39" i="8"/>
  <c r="L70" i="8"/>
  <c r="L38" i="8"/>
  <c r="L61" i="8"/>
  <c r="L73" i="8"/>
  <c r="L12" i="8"/>
  <c r="L44" i="8"/>
  <c r="M38" i="8"/>
  <c r="M47" i="8"/>
  <c r="M70" i="8"/>
  <c r="K17" i="8"/>
  <c r="J28" i="8"/>
  <c r="H177" i="6"/>
  <c r="K67" i="8"/>
  <c r="M34" i="8"/>
  <c r="M30" i="8"/>
  <c r="D276" i="6"/>
  <c r="H276" i="6" s="1"/>
  <c r="L67" i="8"/>
  <c r="M14" i="8"/>
  <c r="L37" i="8"/>
  <c r="D291" i="6"/>
  <c r="M60" i="8"/>
  <c r="L60" i="8"/>
  <c r="L62" i="8"/>
  <c r="K62" i="8"/>
  <c r="M62" i="8"/>
  <c r="J74" i="8" l="1"/>
  <c r="L27" i="8"/>
  <c r="K27" i="8"/>
  <c r="F356" i="6"/>
  <c r="L51" i="8"/>
  <c r="M51" i="8"/>
  <c r="L4" i="4"/>
  <c r="J4" i="4"/>
  <c r="M28" i="8"/>
  <c r="L28" i="8"/>
  <c r="K28" i="8"/>
  <c r="K60" i="8"/>
  <c r="M74" i="8" l="1"/>
  <c r="F355" i="6" s="1"/>
  <c r="K74" i="8"/>
  <c r="F353" i="6" s="1"/>
  <c r="L74" i="8"/>
  <c r="F354" i="6" s="1"/>
</calcChain>
</file>

<file path=xl/sharedStrings.xml><?xml version="1.0" encoding="utf-8"?>
<sst xmlns="http://schemas.openxmlformats.org/spreadsheetml/2006/main" count="556" uniqueCount="418">
  <si>
    <t>№ з/п</t>
  </si>
  <si>
    <t>Код</t>
  </si>
  <si>
    <t>Ящики</t>
  </si>
  <si>
    <t>Ширина, м</t>
  </si>
  <si>
    <t>Длина, м</t>
  </si>
  <si>
    <t>Высота, м</t>
  </si>
  <si>
    <t>Объем, м. куб.</t>
  </si>
  <si>
    <t>ИТОГО Объем, м. куб.</t>
  </si>
  <si>
    <t>ИТОГО</t>
  </si>
  <si>
    <t>Продукция</t>
  </si>
  <si>
    <t>К-во, ящ.</t>
  </si>
  <si>
    <t>Итого объем, куб. м:</t>
  </si>
  <si>
    <t>Вес, кг брутто</t>
  </si>
  <si>
    <t>ИТОГО       Вес брутто     кг</t>
  </si>
  <si>
    <t>наш e-mail: info@eclair.uz</t>
  </si>
  <si>
    <t xml:space="preserve"> www.eclair.uz </t>
  </si>
  <si>
    <t>ИТОГО       Вес нетто  кг</t>
  </si>
  <si>
    <t>info@eclair.uz</t>
  </si>
  <si>
    <t xml:space="preserve">Стойкая крем-краска  для волос «Éclair» с маслами «OMEGA 9», в саше пакетиках / Permanent hair color cream «Éclair» with «OMEGA-9» oils, sachet package </t>
  </si>
  <si>
    <t>Стойкая крем-краска  для волос «Éclair» с маслоами "OMEGA 9", тон 6.7  Натуральный кофе / Coffe</t>
  </si>
  <si>
    <t xml:space="preserve">Осветляющие средства для волос «Éclair»  / Hair bleaching products «Éclair» </t>
  </si>
  <si>
    <t xml:space="preserve">Крем для лица с экстрактом ОГУРЦА   / Face cream with CUCUMBER extract </t>
  </si>
  <si>
    <t xml:space="preserve">Крем для лица КОЗЬЕ МОЛОКО / Face cream with GOAT MILK extract </t>
  </si>
  <si>
    <t xml:space="preserve">Крем для рук с экстрактом ЯБЛОКА  / Hand cream with APPLE extract </t>
  </si>
  <si>
    <t>Крем для рук с экстрактом ВИНОГРАД  / Hand cream with GRAPE extract</t>
  </si>
  <si>
    <t>Крем для рук ВЕЛЮР с экстрактом РОМАШКИ / Hand cream VELOR with chamomile extract</t>
  </si>
  <si>
    <t>Крем для рук СИЛИКОНОВЫЙ  / Hand cream SILICON</t>
  </si>
  <si>
    <t>Крем детский ЗАЩИТНЫЙ / Baby cream PROTECTIVE</t>
  </si>
  <si>
    <t>Крем детский  ВЕСЕЛЫЙ ТЕРЕМОК / Baby cream FUNNY TEREMOK</t>
  </si>
  <si>
    <t xml:space="preserve">Крем для ног  с экстрактом ЗЕЛЁНОГО ЧАЯ (заживляющий трещины)   / Foot cream with GREEN TEE extract (to heal cracked foot) </t>
  </si>
  <si>
    <t>Естественное увлажнение / Natural hydration</t>
  </si>
  <si>
    <t xml:space="preserve">Ощущение свежести / Feeling of freshness </t>
  </si>
  <si>
    <t xml:space="preserve">Лаймовый всплеск / Lime splash </t>
  </si>
  <si>
    <t xml:space="preserve">Нежность и комфорт / Tenderness and comfort </t>
  </si>
  <si>
    <t xml:space="preserve">Соблазнительная мягкость / Seductive softness </t>
  </si>
  <si>
    <t xml:space="preserve">Специальное питательное / Special nutritious </t>
  </si>
  <si>
    <t xml:space="preserve">Питание и увлажнение / Nutrition and humidification </t>
  </si>
  <si>
    <t>Крем-депилятор "Гладкий шелк" / Cream - depilatory "Silky smooth"</t>
  </si>
  <si>
    <t>Крем-депилятор "Деликатный" / Cream - depilatory "Delicate"</t>
  </si>
  <si>
    <t xml:space="preserve">Крем-депилятор "АЛОЕ ВЕРА" / Depilatory cream "ALOE VERA" </t>
  </si>
  <si>
    <t>Крем-депилятор "РОМАШКА" / Depilatory cream "CHAMOMILE"</t>
  </si>
  <si>
    <t>Бальзам для нормалных волос / Balm for normal hair</t>
  </si>
  <si>
    <t>Бальзам питание и укрепление волос / Balm hair nutrition and hair strengthening</t>
  </si>
  <si>
    <t>Бальзам питательный для всех типов волос / Balm nutritive for all hair types</t>
  </si>
  <si>
    <t xml:space="preserve">Бальзам для волос 500 мл / Hair balm 500 ml </t>
  </si>
  <si>
    <t>Скраб для лица, в тубах по 150 мл / Face scrub 150 ml in tubes</t>
  </si>
  <si>
    <t>Крем для депиляции в тубах по 100 мл / Depilatory cream 100 ml in tubes</t>
  </si>
  <si>
    <t>Крем для лица в баночках по 150 мл / Face cream 150 ml in jars</t>
  </si>
  <si>
    <t>Крем для рук в баночках  по 150 мл / Hand cream 150 ml in jars</t>
  </si>
  <si>
    <t>Крем для ног в баночках 75 мл / Foot cream 75 ml in jars</t>
  </si>
  <si>
    <t>Средство для мытья посуды "Лимон" 500 мл / Dishwashing liquid "Lemon" 500 ml</t>
  </si>
  <si>
    <t>Средство для мытья посуды "Яблоко" 500 мл / Dishwashing liquid "Apple" 500 ml</t>
  </si>
  <si>
    <t>Средство для очистки стекол и зеркал 500 мл / Glass and mirror cleaner 500 ml</t>
  </si>
  <si>
    <t>Универсальное средство для кухни 500 мл / Universal kitchen cleaner 500 ml</t>
  </si>
  <si>
    <t>Средство для удаления жира, нагара и копоти "Анти-жир Чистый казан" 500 мл  / Grease, soot and soot remover "Анти-жир Чистый казан"  500 ml</t>
  </si>
  <si>
    <t>Туалетные мыла «Éclair»  70 г  / Toilet soaps «Éclair» 70 g</t>
  </si>
  <si>
    <t>Туалетные мыла «Éclair»  90 г  / Toilet soaps «Éclair» 90 g</t>
  </si>
  <si>
    <t>Туалетные мыла «Éclair»  140 г  / Toilet soaps «Éclair» 140 g</t>
  </si>
  <si>
    <t>Баланс и гладкость / Balance and smoothness</t>
  </si>
  <si>
    <t xml:space="preserve">Природная свежесть / Natural freshness </t>
  </si>
  <si>
    <t>Бархатистая кожа / Velvety skin</t>
  </si>
  <si>
    <t xml:space="preserve">Элегантная мягкост / Elegant softness     </t>
  </si>
  <si>
    <t xml:space="preserve">Роскошная нежность / Luxurious tenderness </t>
  </si>
  <si>
    <t xml:space="preserve">Насыщенное увлажнение / Saturated hydration </t>
  </si>
  <si>
    <t>Освежающее / Refresh</t>
  </si>
  <si>
    <t xml:space="preserve">Туалетные мыла «Éclair»  170 г  / Toilet soaps «Éclair» 170 g </t>
  </si>
  <si>
    <t xml:space="preserve">Свежесть / Refresh </t>
  </si>
  <si>
    <t>Мечты ангелов / Angels  dream</t>
  </si>
  <si>
    <t>Небесная свежесть / Cool blue</t>
  </si>
  <si>
    <t>Роскошный объем / Luxurious volume</t>
  </si>
  <si>
    <t>Сила чистоты / Pure Strike</t>
  </si>
  <si>
    <t>Сказочная свежесть / Dreamy violette blush</t>
  </si>
  <si>
    <t>Безупречная чистота / Pure cleance</t>
  </si>
  <si>
    <t>Крем краска для бровей "ELETT" «Éclair» в тубах по 20мл / Eyebrow dye cream "ELETT" «Éclair»</t>
  </si>
  <si>
    <t xml:space="preserve">Штрих коды           Bar code </t>
  </si>
  <si>
    <t>Продукция / Products</t>
  </si>
  <si>
    <t xml:space="preserve">№ </t>
  </si>
  <si>
    <t>К-во шт.в ящ. / Quantity of pcs in a box</t>
  </si>
  <si>
    <t>Всего штук / Total pcs</t>
  </si>
  <si>
    <t>Шампунь для волос SPUMA «Éclair» 400 мл / Shampoos for hair SPUMA</t>
  </si>
  <si>
    <t xml:space="preserve">Кремы «Éclair», в тубах по 44 мл / Сreams «Éclair» in tubes </t>
  </si>
  <si>
    <t xml:space="preserve">Стойкая крем-краска  для волос «Éclair» с маслами "OMEGA 9", тон 4.6                     Божоле / Dark Red </t>
  </si>
  <si>
    <t xml:space="preserve"> Стойкая крем-краска  для волос «Éclair» с маслами "OMEGA 9", тон 5.5                 Гранат  / Deep Red</t>
  </si>
  <si>
    <t>Стойкая крем-краска  для волос «Éclair» с маслами "OMEGA 9", тон 4.5                    Дикая вишня / Wild Cherry</t>
  </si>
  <si>
    <t>Стойкая крем-краска  для волос «Éclair» с маслами "OMEGA 9", тон 6.3             Капучино / Medium Dark Blonde</t>
  </si>
  <si>
    <t>Стойкая крем-краска  для волос «Éclair» с маслами "OMEGA 9", тон 9.7           Карамель / Caramel</t>
  </si>
  <si>
    <t xml:space="preserve">Стойкая крем-краска  для волос «Éclair» с маслами "OMEGA 9", тон 4.7             Каштан / Chesnut </t>
  </si>
  <si>
    <t>Стойкая крем-краска  для волос «Éclair» с маслами "OMEGA 9", тон 6.5               Махагон / Mahogany</t>
  </si>
  <si>
    <t>Стойкая крем-краска  для волос «Éclair» с маслами "OMEGA 9", тон 5.55                      Рубин / Deep Mahogany</t>
  </si>
  <si>
    <t>Стойкая крем-краска  для волос «Éclair» с маслами "OMEGA 9", тон 7.0                       Русый / Medium blonde</t>
  </si>
  <si>
    <t>Стойкая крем-краска  для волос «Éclair» с маслами "OMEGA 9", тон 8.0                          Светло-русый / Light Blonde</t>
  </si>
  <si>
    <t>Стойкая крем-краска  для волос «Éclair» с маслами "OMEGA 9", тон  3.0                    Темно-каштановый / Dark Brown</t>
  </si>
  <si>
    <t>Стойкая крем-краска  для волос «Éclair» с маслами "OMEGA 9", тон  6.0                      Темно русый / Dark Blonde</t>
  </si>
  <si>
    <t xml:space="preserve">Стойкая крем-краска  для волос «Éclair» с маслами "OMEGA 9", тон 1.0                  Черный / Black     </t>
  </si>
  <si>
    <t>Стойкая крем-краска  для волос «Éclair» с маслами "OMEGA 9", тон 3.7                    Черный шоколад / Dark chocolate</t>
  </si>
  <si>
    <t xml:space="preserve">Стойкая крем-краска  для волос «Éclair» с маслами "OMEGA 9", тон 5.0           Шоколадный / Chocolate  </t>
  </si>
  <si>
    <t xml:space="preserve">Стойкая крем-краска  для волос «Éclair» с маслами "OMEGA 9", тон 7.07                    Ольха / Light ash blonde </t>
  </si>
  <si>
    <t>Стойкая крем-краска  для волос «Éclair» с маслами "OMEGA 9", тон 4.00               Каштановый / Medium Brown</t>
  </si>
  <si>
    <t xml:space="preserve">Стойкая крем-краска  для волос «Éclair» с маслами "OMEGA 9", тон 3.3                 Лесной орех / Light brown    </t>
  </si>
  <si>
    <t>Стойкая крем-краска  для волос «Éclair» с маслами "OMEGA 9", тон 9.0                   Солнечный пляж / Ultra Light ash blonde</t>
  </si>
  <si>
    <t xml:space="preserve"> Стойкая крем-краска  для волос «Éclair» с маслами "OMEGA 9", тон 11.1              Платиновый блондин / Blatinum blonde</t>
  </si>
  <si>
    <t>Стойкая крем-краска  для волос «Éclair» с маслами "OMEGA 9", тон 8.7               Песчаный берег / Lightest ash blonde</t>
  </si>
  <si>
    <t>Стойкая крем-краска  для волос «Éclair» с маслами "OMEGA 9", тон 5.3                  Золотистый орех / Golden nut</t>
  </si>
  <si>
    <t>Стойкая крем-краска  для волос «Éclair» с маслами "OMEGA 9", тон 4.3                  Золотистый кофе / Lustrous middle brown</t>
  </si>
  <si>
    <t>Стойкая крем-краска  для волос «Éclair» с маслами "OMEGA 9", тон 7.06               Ракушка / Dark ash blonde</t>
  </si>
  <si>
    <t xml:space="preserve"> Стойкая крем-краска  для волос «Éclair» с маслами "OMEGA 9", тон 11.6              Яркий пепельный блондин / Bright ash blonde</t>
  </si>
  <si>
    <t>Стойкая крем-краска  для волос «Éclair» с маслами "OMEGA 9", тон 7.7                  Горький шоколад / Bitter chocolate</t>
  </si>
  <si>
    <t>Стойкая крем-краска  для волос «Éclair» с маслами "OMEGA 9", тон 5.7                      Какао / Cacao</t>
  </si>
  <si>
    <t>Стойкая крем-краска  для волос «Éclair» с маслами "OMEGA 9", тон 7.3                  Золотисто русый / Golden blonde</t>
  </si>
  <si>
    <t>Стойкая крем-краска  для волос «Éclair» с маслами "OMEGA 9", тон 6.44               Медный шик / Deep copper</t>
  </si>
  <si>
    <t>Стойкая крем-краска  для волос «Éclair» с маслами "OMEGA 9", тон 11.0              Скандиновский блондин / Skandinavian blonde</t>
  </si>
  <si>
    <t>Стойкая крем-краска  для волос «Éclair» с маслами "OMEGA 9", тон 3.70                      Темный шоколад /  Dark chocolate</t>
  </si>
  <si>
    <t>Стойкая крем-краска  для волос «Éclair» с маслами "OMEGA 9", тон 8.1                   Холодный светло-русый / Blond ash</t>
  </si>
  <si>
    <t>Стойкая крем-краска  для волос «Éclair» с маслами "OMEGA 9", тон 7.1              Холодный русый / Blond ash</t>
  </si>
  <si>
    <t>Стойкая крем краска для волос  «Éclair» «3D», тон 3.65                                         Баклажан / Aubergine</t>
  </si>
  <si>
    <t>Стойкая крем краска для волос  «Éclair» «3D», тон  4.0                                       Роскошный каштан / Soft dark brown</t>
  </si>
  <si>
    <t>Стойкая крем краска для волос  «Éclair» «3D», тон 5.0                                   Шоколадный / Chocolate</t>
  </si>
  <si>
    <t>Стойкая крем краска для волос  «Éclair» «3D», тон 4.75                                         Черный шоколад / Black chocolate</t>
  </si>
  <si>
    <t>Стойкая крем краска для волос  «Éclair» «3D», тон  7.0                                               Русый / Medium blonde</t>
  </si>
  <si>
    <t>Стойкая крем краска для волос  «Éclair» «3D», тон 4.56                                           Темная вишня / Dark cherry</t>
  </si>
  <si>
    <t>Стойкая крем краска для волос  «Éclair» «3D», тон 2.81                                                         Иссиня черный / Bluish black</t>
  </si>
  <si>
    <t>Стойкая крем краска для волос  «Éclair» «3D», тон 7.1                                                         Орехово-пепельный / Ash blonde</t>
  </si>
  <si>
    <t>Стойкая крем краска для волос  «Éclair» «3D», тон 9.1                                                     Жемчуг / Light ash blonde</t>
  </si>
  <si>
    <t>Стойкая крем краска для волос  «Éclair» «3D», тон 10.20                                                      Холодный блонд / Ultra Light ash blonde</t>
  </si>
  <si>
    <t>Стойкая крем краска для волос  «Éclair» «3D», тон 11.13                                                  Жемчужный блонд / Ice blonde</t>
  </si>
  <si>
    <t>Стойкая крем краска для волос  «Éclair» «3D», тон 11.20                                              Слоновая кость / Ivory</t>
  </si>
  <si>
    <t>Стойкая крем краска для волос  «Éclair» «3D», тон 5.3                                                   Золотистый трюфель / Golden truffles</t>
  </si>
  <si>
    <t>Стойкая крем краска для волос  «Éclair» «3D», тон 6.3                                                  Золотистый грильяж / Golden nougat</t>
  </si>
  <si>
    <t>Стойкая крем краска для волос  «Éclair» «3D», тон 7.3                                             Золотистый мускат / Golden ginger</t>
  </si>
  <si>
    <t xml:space="preserve">Стойкая крем краска для волос  «Éclair» «3D», тон 5.71                                               Какао со льдом / Iced Cocoa </t>
  </si>
  <si>
    <t>Стойкая крем краска для волос  «Éclair» «3D», тон 8.74                                                Карамель / Caramel</t>
  </si>
  <si>
    <t>Стойкая крем краска для волос  «Éclair» «3D», тон 5.56                                              Темный гранат / Dark red</t>
  </si>
  <si>
    <t>Стойкая крем краска для волос  «Éclair» «3D», тон 7.73                                             Капучино / Light brown</t>
  </si>
  <si>
    <t>Стойкая крем краска для волос  «Éclair» «3D», тон 4.65                                                    Дикая слива / Dark cherry</t>
  </si>
  <si>
    <t>Стойкая крем краска для волос  «Éclair» «3D», тон 1.0                                                Королевский черный / Black</t>
  </si>
  <si>
    <t xml:space="preserve">Стойкая крем краска для волос  «Éclair» «3D», тон 3.0                                               Темный каштан / Dark brown </t>
  </si>
  <si>
    <t>Стойкая крем краска для волос  «Éclair» «3D», тон 2.0                                          Драгоценный Черный агат / Ultra onux black</t>
  </si>
  <si>
    <t>Стойкая крем краска для волос  «Éclair» «3D», тон 5.75                                              Благородный опал / Icy chestnut</t>
  </si>
  <si>
    <t>Стойкая крем краска для волос  «Éclair» «3D», тон 10.10                                               Серебристый блонд / Silver ultra blond</t>
  </si>
  <si>
    <t>Стойкая крем краска для волос  «Éclair» «3D», тон 10.31                                                Шампань / Naturlar light blonde</t>
  </si>
  <si>
    <t>Крем краска для бровей "ELETT" тон 4.0 Коричневый / Brown</t>
  </si>
  <si>
    <t>Крем краска для бровей "ELETT" тон 1.0 Черный /Black</t>
  </si>
  <si>
    <t>№</t>
  </si>
  <si>
    <t xml:space="preserve">Осветлитель для волос "Super Blond", в саше пакетиках /                                                Hair bleaching "Super Blond", sachet package </t>
  </si>
  <si>
    <t xml:space="preserve">Осветлитель для волосm"Ultra Blond" в саше пакетиках /                                                     Super Hair bleaching "Ultra Blond" , sachet package </t>
  </si>
  <si>
    <t>Шампунь для волос "INFRA CARE" питание и уход на каждый день /                        Shampoo for hair "INFRA CARE" nutrition and care for every day</t>
  </si>
  <si>
    <t>Шампунь для волос "INFRA CARE" для восстановления волос /                            Shampoo for hair "INFRA CARE" for recovery</t>
  </si>
  <si>
    <t>Шампунь для волос "EXPERT" с маслом арганы для всех типов волос /                       Shampoo for hair "EXPERT" with argan oil for all types</t>
  </si>
  <si>
    <t>Бальзамов-ополаскиватель для волос "ERSOLLE" «Éclair»,  500 мл /                    Hair balm-conditioner</t>
  </si>
  <si>
    <t>Бальзам шоколодный  для интенсивного питания и ухода за волосами /                       Balm chocolate for intensive nutrition and hair care</t>
  </si>
  <si>
    <t>Шампунь для волос  "ELETT" «Éclair» 380 мл /                                                Shampoo for hair "ELETT" «Éclair»</t>
  </si>
  <si>
    <t>Шампунь увлажняющий для волос Ванильная орхидея /                                    Moisturizing shampoo for hair Vanilla orchid</t>
  </si>
  <si>
    <t>Шампунь унивесральный для всех типов Чувственная роза /                                        Universal shampoo for all types hair Rose Sensitive</t>
  </si>
  <si>
    <t>Шампунь питательный для волос Деликатная лилия /                                             Nutritive shampoo for hair Lily Delicate</t>
  </si>
  <si>
    <t xml:space="preserve">Шампунь восстанавливающий для волос Ароматный жасмин /                                        Recovery shampoo for hair  Fragrant jasmine </t>
  </si>
  <si>
    <t>Шампунь балансирующий для жирных волос Фиолетовый нарцисс /                                Balancing shampoo for oily hair Daffodil &amp; Violet</t>
  </si>
  <si>
    <t>Cерия продуктов "Amfiora"  «Éclair» черный тмин  /                                              Series of products "Amfiora"  «Éclair» black cumin (seed) oil</t>
  </si>
  <si>
    <t>Шампунь для волос "Двойная сила для интенсивного ухода" 400 мл /                         Hair shampoo "Double strength for intensive care" 400 ml</t>
  </si>
  <si>
    <t>Гель для душа "Комфортное очищение для волос и тела" 250 мл /                              Shower gel "Comfortable cleansing for hair and body" 250 ml</t>
  </si>
  <si>
    <t>Бальзам-ополаскиватель для поврежденных и туслых волос 240 мл  /                             Balm -conditioner for damaged and dull hair 240 ml</t>
  </si>
  <si>
    <t xml:space="preserve">Бальзам после бритья "Увлажнение и питание" 140 мл /                                                After shave balm "Moisturizing and nutrition" 140 ml </t>
  </si>
  <si>
    <t>Бальзам для волос "INFRA CARE" для восстановления с маслом авокадо  /                                Hair balm "INFRA CARE" for recovery with avocado oil</t>
  </si>
  <si>
    <t xml:space="preserve">Восстанавливающий шампунь с Д - пантенолом 10 мл  «Éclair» /                    Shampoo intensive hair restoration with D-panthenol </t>
  </si>
  <si>
    <t xml:space="preserve">Средства бытовой химии "BARG" «Éclair» /                                                 Household chemicals "BARG" «Éclair» </t>
  </si>
  <si>
    <t>Стойкая крем краска для волос «Éclair» «3D», в тубах по 50 мл / Permanent hair color cream «Éclair» «3D», in tubes 50 ml</t>
  </si>
  <si>
    <t xml:space="preserve">Осветлитель для волос "Super Blond", в саше пакетиках / Hair bleaching "Super Blond", sachet package </t>
  </si>
  <si>
    <t xml:space="preserve">Осветлитель для волосm"Ultra Blond" в саше пакетиках / Super Hair bleaching "Ultra Blond" , sachet package </t>
  </si>
  <si>
    <t>Бальзамов-ополаскиватель для волос SPUMA «Éclair», 500 мл / Hair balm-conditioner SPUMA «Éclair», 500 ml</t>
  </si>
  <si>
    <t xml:space="preserve">Средство для химимической завивки «Éclair» "Extra LOCK ON", 240 мл  / Curling Perm «Éclair» "Extra LOCK ON", 240 ml </t>
  </si>
  <si>
    <t>Крем - депилятор «Éclair», в тубах по 125 мл / Cream - depilatory «Éclair», 125 ml in tubes</t>
  </si>
  <si>
    <t xml:space="preserve">Восстанавливающий шампунь с Д - пантенолом 10 мл  «Éclair» / Shampoo intensive hair restoration with D-panthenol </t>
  </si>
  <si>
    <t>Крем - депилятор «Éclair», в тубах по 75 мл / Cream - depilatory «Éclair», 75 ml in tubes</t>
  </si>
  <si>
    <t>Шампунь для волос  "ELETT" «Éclair» 380 мл / Shampoo for hair "ELETT" «Éclair»</t>
  </si>
  <si>
    <t xml:space="preserve">Бальзам для волос "Amfiora"  «Éclair» 500 мл / Hair balm 500 ml </t>
  </si>
  <si>
    <t>Скраб для лица "Amfiora"  «Éclair» , в тубах по 150 мл / Face scrub 150 ml in tubes</t>
  </si>
  <si>
    <t>Крем для депиляции "Amfiora"  «Éclair» в тубах по 100 мл / Depilatory cream 100 ml in tubes</t>
  </si>
  <si>
    <t>Крем для лица "Amfiora"  «Éclair» в баночках по 150 мл / Face cream 150 ml in jars</t>
  </si>
  <si>
    <t>Крем для рук "Amfiora"  «Éclair» в баночках  по 150 мл / Hand cream 150 ml in jars</t>
  </si>
  <si>
    <t>Крем для ног "Amfiora"  «Éclair» в баночках 75 мл / Foot cream 75 ml in jars</t>
  </si>
  <si>
    <t>Шампунь для волос "Двойная сила для интенсивного ухода" "EXXPER" «Éclair» 400 мл / Hair shampoo "Double strength for intensive care" 400 ml</t>
  </si>
  <si>
    <t>Гель для душа "Комфортное очищение для волос и тела" "EXXPER" «Éclair» 250 мл /                              Shower gel "Comfortable cleansing for hair and body" 250 ml</t>
  </si>
  <si>
    <t>Бальзам-ополаскиватель для поврежденных и туслых волос "EXXPER" «Éclair» 240 мл  / Balm -conditioner for damaged and dull hair 240 ml</t>
  </si>
  <si>
    <t xml:space="preserve">Бальзам после бритья "Увлажнение и питание" "EXXPER" «Éclair» 140 мл /  After shave balm "Moisturizing and nutrition" 140 ml </t>
  </si>
  <si>
    <t xml:space="preserve"> Мицеллярная вода "ELETT" «Éclair», 200 мл / Micellar water "ELETT" «Éclair», 200 ml</t>
  </si>
  <si>
    <t>Универсальное хозяйственное мыло «Éclair» "BARG" 175 гр  /                          Universal Laundry soap «Éclair» "BARG"</t>
  </si>
  <si>
    <t xml:space="preserve">  </t>
  </si>
  <si>
    <t>Общая стоимость:</t>
  </si>
  <si>
    <t xml:space="preserve">Шампуни для волос «Éclair» 900 мл / Shampoos for hair «Éclair» </t>
  </si>
  <si>
    <t xml:space="preserve">Бальзам для волос «Éclair» 900 мл / Hair balm «Éclair» </t>
  </si>
  <si>
    <t>Крем - депилятор «Éclair», в тубах по 125 мл /                                                         Cream - depilatory «Éclair», in tubes</t>
  </si>
  <si>
    <t>Крем - депилятор «Éclair», в тубах по 75 мл /                                                      Cream - depilatory «Éclair», in tubes</t>
  </si>
  <si>
    <t>Туалетные мыла «Éclair»  90 г  / Toilet soaps «Éclair»</t>
  </si>
  <si>
    <t>Туалетные мыла «Éclair»  70 г  / Toilet soaps «Éclair»</t>
  </si>
  <si>
    <t>Туалетные мыла «Éclair»  140 г  / Toilet soaps «Éclair»</t>
  </si>
  <si>
    <t>Туалетные мыла «Éclair»  170 г  / Toilet soaps «Éclair»</t>
  </si>
  <si>
    <t>Окрашивание волос</t>
  </si>
  <si>
    <t>Осветление волос</t>
  </si>
  <si>
    <t xml:space="preserve">Уход </t>
  </si>
  <si>
    <t>Химическая завивка</t>
  </si>
  <si>
    <t>Вес, кг нетто</t>
  </si>
  <si>
    <t>ИТОГО       Вес нетто     кг</t>
  </si>
  <si>
    <t>Итого всего (брутто), кг:</t>
  </si>
  <si>
    <t>Итого нетто, кг:</t>
  </si>
  <si>
    <t xml:space="preserve">Мужская серия продуктов для волос и тела "EXXPER" «Éclair» / Men's hair and body series  of products "EXXPER" «Éclair» </t>
  </si>
  <si>
    <t>Детскый шампунь с Д - пантенолом и экстрактом алоэ-вера /                                                  Baby shampoo with D-panthenol and aloe vera extract</t>
  </si>
  <si>
    <t>Детскый шампунь без алергенный с экстрактом ромашки /                                                  Allergenic-free baby shampoo with chamomile extract</t>
  </si>
  <si>
    <t>Жидкое и твёрдое мыло</t>
  </si>
  <si>
    <t xml:space="preserve">Детский шампунь "HANY" «Éclair Kids» 240мл /                                                    Baby shampoo "HANY" «Éclair Kids» </t>
  </si>
  <si>
    <t>Масло сыворотка для волос "ELETT"  «Éclair» 100мл /                                                      Hair Serum oil for hair "ELETT" «Éclair»</t>
  </si>
  <si>
    <t>Масло сыворотка для волос "ELETT"  «Éclair» 100мл / Hair Serum oil for hair "ELETT" «Éclair»</t>
  </si>
  <si>
    <t xml:space="preserve">Детский шампунь "HANY" «Éclair Kids» 240мл / Baby shampoo "HANY" «Éclair Kids» </t>
  </si>
  <si>
    <t>,</t>
  </si>
  <si>
    <t>Цена в $ США за шт. /  Price in USD pcs.</t>
  </si>
  <si>
    <t>Количество в ящиках / Quantity of boxes</t>
  </si>
  <si>
    <t>Код ТНВЭД</t>
  </si>
  <si>
    <t>Стойкая крем-краска  для волос «Éclair» с маслами "OMEGA 9", тон 1.1              Иссиня-черный / Bluish Black</t>
  </si>
  <si>
    <t>Бальзамов-ополаскиватель для волос SPUMA «Éclair», 500 мл /                             Hair balm-conditioner SPUMA «Éclair»</t>
  </si>
  <si>
    <t xml:space="preserve">Детская серия продуктов для волос и тела "UPPY"  /  Baby hair and body series of products "UPPY" «Éclair» </t>
  </si>
  <si>
    <t>Детский шампунь "UPPY" «Éclair» без сульфатов и краситилей 250 мл /                     Baby shampoo "UPPY" «Éclair» without sulfates and dyes 250 ml</t>
  </si>
  <si>
    <t>Детское масло "UPPY" «Éclair» для чуствительной кожи 160 мл /                                                                                    Baby oil "UPPY"«Éclair»  for sensitive skin 160 ml</t>
  </si>
  <si>
    <t>Детский крем "UPPY" «Éclair» гипоаллергеенный 60 мл /                                                 Baby cream "UPPY" «Éclair» hypoallergenic 60 ml</t>
  </si>
  <si>
    <t>Десткое туалетное мыло "UPPY" «Éclair» не раздражает кожу 90 гр /                                                                                                                     Baby soap "UPPY" "Éclair" does not irritate the skin 90 gr</t>
  </si>
  <si>
    <t>4780023328249</t>
  </si>
  <si>
    <t>4780023328263</t>
  </si>
  <si>
    <t>4780023328270</t>
  </si>
  <si>
    <t>4780023328287</t>
  </si>
  <si>
    <t>4780023328294</t>
  </si>
  <si>
    <t>4780023328300</t>
  </si>
  <si>
    <t>4780023328317</t>
  </si>
  <si>
    <t>4780023328324</t>
  </si>
  <si>
    <t>4780023328331</t>
  </si>
  <si>
    <t>4780023328348</t>
  </si>
  <si>
    <t>4780023328355</t>
  </si>
  <si>
    <t>4780023328362</t>
  </si>
  <si>
    <t>4780023328379</t>
  </si>
  <si>
    <t>4780023328386</t>
  </si>
  <si>
    <t>4780023328393</t>
  </si>
  <si>
    <t>4780023328409</t>
  </si>
  <si>
    <t>4780023328416</t>
  </si>
  <si>
    <t>4780023328423</t>
  </si>
  <si>
    <t>4780023328430</t>
  </si>
  <si>
    <t>4780023328447</t>
  </si>
  <si>
    <t>4780023328454</t>
  </si>
  <si>
    <t>4780023328461</t>
  </si>
  <si>
    <t>4780023328478</t>
  </si>
  <si>
    <t>4780023328485</t>
  </si>
  <si>
    <t>4780023328492</t>
  </si>
  <si>
    <t>4780023328508</t>
  </si>
  <si>
    <t>4780023328515</t>
  </si>
  <si>
    <t>4780023328522</t>
  </si>
  <si>
    <t>4780023328539</t>
  </si>
  <si>
    <t xml:space="preserve">Шампунь для волос "ERSOLLE" «Éclair»,  1000 мл / Hair shampoo </t>
  </si>
  <si>
    <t>Шампунь для нормалных волос / Shampoo for normal hair</t>
  </si>
  <si>
    <t>Шампунь питание и укрепление волос / Shampoo nutrition and hair strengthening</t>
  </si>
  <si>
    <t>Шампунь питательный для всех типов волос / Shampoo nourishing for all hair types</t>
  </si>
  <si>
    <t>Шампунь шоколадный для интенсивного ухода за жирными волосами /                   Shampoo chocolate for intensive care for oily hair</t>
  </si>
  <si>
    <t xml:space="preserve">Cпрей освежитель воздуха для дома ''SILQUA'' «Éclair» 400мл/                Spray air freshener for home ''SILQUA'' «Éclair»  </t>
  </si>
  <si>
    <t>ФРУКТОВЫЙ МИКС / FRUIT MIX</t>
  </si>
  <si>
    <t>ТЫСЯЧА И ОДНА НОЧЬ / THOUSAND AND ONE NIGHTS</t>
  </si>
  <si>
    <t>ЙОГУРТ С ЕЖЕВИКОЙ / YOGURT WITH BLACKBERRY</t>
  </si>
  <si>
    <t>ДЫХАНИЕ ВОДОПАДА / BREATH OF A WATERFALL</t>
  </si>
  <si>
    <t>БЕЛАЯ РОЗА / WHITE ROSE</t>
  </si>
  <si>
    <t>ГОРНАЯ ЛАВАНДА / MOUNTAIN LAVENDER</t>
  </si>
  <si>
    <t>ЯБЛОНЕВЫЙ САД СПРЕЙ / APPLE ORCHARD SPRAY</t>
  </si>
  <si>
    <t>ЛЕТНИЙ ДОЖДЬ / APPLE ORCHARD SPRAY</t>
  </si>
  <si>
    <t>ОСТРОВ МАЛЬДИВЫ / ISLAND MALDIVES</t>
  </si>
  <si>
    <t>АНТИТАБАК / ANTI-TOBACCO</t>
  </si>
  <si>
    <t>СПЕЛОЕ МАНГО / RIPE MANGO</t>
  </si>
  <si>
    <t>Туалетные мыла ''SILQUA'' «Éclair»  140 г  / Toilet soaps ''SILQUA'' «Éclair»</t>
  </si>
  <si>
    <t xml:space="preserve">Нежная роза / Gentle Rose  </t>
  </si>
  <si>
    <t xml:space="preserve">Алоэ вера / Aloe Vera </t>
  </si>
  <si>
    <t xml:space="preserve">Морской мир / Sea World </t>
  </si>
  <si>
    <t xml:space="preserve">Cпрей освежитель воздуха для дома ''SILQUA'' «Éclair» 400мл/                                    Spray air freshener for home ''SILQUA'' «Éclair»  </t>
  </si>
  <si>
    <t>Огуречный / Cucumber</t>
  </si>
  <si>
    <t>Окрашивающий шампунь "Coloring shampoo" «Éclair» для борьбы с сединой 25 мл /  Coloring shampoo "Coloring shampoo" «Éclair» is a cpecial anti gray 25 ml</t>
  </si>
  <si>
    <t>Окрашивающий шампунь  чёрный для борьбы с сединой 25 мл /                          Coloring shampoo black «Éclair» is a cpecial anti gray 25 ml</t>
  </si>
  <si>
    <t>Окрашивающий шампунь темно-корычневый для борьбы с сединой 25 мл /                     Coloring shampoo dark brown is a cpecial anti gray 25 ml</t>
  </si>
  <si>
    <t>Пенка для умывания лица в тубах по 180 мл / Face foam cleancer 180 ml in tubes</t>
  </si>
  <si>
    <t>Мицеллярная вода С аллантоином 400 мл / Micellar water with allantoin 400 ml</t>
  </si>
  <si>
    <t>Мицеллярная вода Экстракт алоэ 400 мл / Micellar water aloe extract 400 ml</t>
  </si>
  <si>
    <t>Мицеллярная вода Экстракт розы  400 мл / Micellar water rose extract 400 ml</t>
  </si>
  <si>
    <t>Мицеллярная вода Молочный протеин  400 мл / Micellar water milk protein 400ml</t>
  </si>
  <si>
    <t>Мицеллярная вода С аллантоином 200 мл / Micellar water with allantoin 200 ml</t>
  </si>
  <si>
    <t>Мицеллярная вода Экстракт розы  200 мл / Micellar water rose extract 200 ml</t>
  </si>
  <si>
    <t xml:space="preserve"> Мицеллярная вода "ELETT" «Éclair», 400 мл / Micellar water "ELETT" «Éclair», 400 ml</t>
  </si>
  <si>
    <t xml:space="preserve"> Мицеллярная вода "ELETT" «Éclair», 400 мл /                                                     Micellar water "ELETT" «Éclair», 400 ml.</t>
  </si>
  <si>
    <t xml:space="preserve"> Мицеллярная вода "ELETT" «Éclair», 200 мл /                                                     Micellar water "ELETT" «Éclair», 200 ml.</t>
  </si>
  <si>
    <t>Бальзамов-ополаскиватель для волос SPUMA «Éclair», 240 мл /                             Hair balm-conditioner SPUMA «Éclair»</t>
  </si>
  <si>
    <t xml:space="preserve">                                                                        Всего, ящ.: </t>
  </si>
  <si>
    <t xml:space="preserve">                                                                                                Всего, штук.:</t>
  </si>
  <si>
    <t>Бальзамов-ополаскиватель для волос SPUMA «Éclair», 240 мл / Hair balm-conditioner SPUMA «Éclair», 240 ml</t>
  </si>
  <si>
    <t>Крем для лица с экстрактом ПЕТРУШКИ  / Face cream with PARSLEY extract</t>
  </si>
  <si>
    <t>Шампунь для волос "INFRA CARE" Чеснок сила роскошных волос /                            Shampoo for hair "INFRA CARE" Garlic the power of luxurious hair</t>
  </si>
  <si>
    <t>Шампунь для волос "EXPERT" с маслом красного перца для жирных волос /                                                                                                 Shampoo for hair "EXPERT" with red pepper oil for oily hair</t>
  </si>
  <si>
    <t>Бальзам - ополаскиватель для волос Зеленый чай (для чувствительной кожи головы и хрупких волос) / Balm - conditioner for hair Green tea (for sensitive scalp and fragile hair)</t>
  </si>
  <si>
    <t>Бальзам - ополаскиватель для волос Репейный (с витаминами А и Е) / Balm - hair conditioner Burdock (with vitamins A and E)</t>
  </si>
  <si>
    <t>Бальзам - ополаскиватель для волос Яичный (для укрепления тонких и поврежденных волос) / Balm - conditioner for hair Egg (for strengthening thin and damaged hair)</t>
  </si>
  <si>
    <t>Бальзам - ополаскиватель для волос Алоэ &amp; Витамин Е (для жирных и проблемных волос) / Balm - hair conditioner Aloe &amp; Vitamin E (for oily and problematic hair)</t>
  </si>
  <si>
    <t>Бальзам - ополаскиватель для волос Козье молоко (для интенсивного укрепления ломких волос) / Balm - conditioner for hair Goat milk (for intensive strengthening of brittle hair)</t>
  </si>
  <si>
    <t>Бальзам - ополаскиватель для волос Кефир (с мультивитаминами для любого типа волос) / Balm - conditioner for hair Kefir (with multivitamins for any type of hair)</t>
  </si>
  <si>
    <t xml:space="preserve">Бальзам - ополаскиватель для волос Зеленый чай / Balm - conditioner for hair Green tea </t>
  </si>
  <si>
    <t xml:space="preserve">Бальзам - ополаскиватель для волос Алоэ Вера  / Balm - hair conditioner Aloe Vera </t>
  </si>
  <si>
    <t xml:space="preserve">Бальзам - ополаскиватель для волос Репейный / Balm - hair conditioner Burdock </t>
  </si>
  <si>
    <t xml:space="preserve">Бальзам - ополаскиватель для волос Яичный / Balm - conditioner for hair Egg </t>
  </si>
  <si>
    <t xml:space="preserve">Жидкое крем-мыло SILQUA «Éclair» 830 мл /                                                                                 Liquid cream soap SILQUA «Éclair» </t>
  </si>
  <si>
    <t>Жидкое крем-мыло SILQUA ECLAIR  Сказочная Роза                                                                                             Liquid cream soap SILQUA ECLAIR Fairytale Rose</t>
  </si>
  <si>
    <t>Жидкое крем-мыло SILQUA ECLAIR  Спелая вишня                                                                                                Liquid cream soap SILQUA ECLAIR Ripe cherry</t>
  </si>
  <si>
    <t>Жидкое крем-мыло SILQUA ECLAIR  Ежевика и черника                                                          Liquid cream soap SILQUA ECLAIR Blackberry and blueberry</t>
  </si>
  <si>
    <t>Жидкое крем-мыло SILQUA ECLAIR  Голубая Орхидея                                               Liquid cream soap SILQUA ECLAIR Blue Orchid</t>
  </si>
  <si>
    <t>Жидкое крем-мыло SILQUA ECLAIR  Масло Оливы                                                                                                   Liquid cream soap SILQUA ECLAIR Olive Oil</t>
  </si>
  <si>
    <t>Жидкое крем-мыло SILQUA ECLAIR  Солнечный цитрус                                                                                               Liquid cream soap SILQUA ECLAIR Sunny citrus</t>
  </si>
  <si>
    <t>Жидкое крем-мыло SILQUA ECLAIR  Нежное Алоэ                                                            Liquid cream soap SILQUA ECLAIR Gentle Aloe</t>
  </si>
  <si>
    <t>Жидкое крем-мыло SILQUA ECLAIR  Нежный уход                                                Liquid cream soap SILQUA ECLAIR Gentle care</t>
  </si>
  <si>
    <t>Жидкое крем-мыло SILQUA ECLAIR  Антибактерин                                                                                                   Liquid cream soap SILQUA ECLAIR Antibacterial</t>
  </si>
  <si>
    <t xml:space="preserve">Шампунь для волос "CAREAL" «Éclair» 1000мл /                                                                        Shampoos for hair "CAREAL" «Éclair» </t>
  </si>
  <si>
    <t>Шампунь для частого применения "CAREAL" «PERFUME AROMA» /                                                  Shampoo for frequent use "CAREAL" «PERFUME AROMA»</t>
  </si>
  <si>
    <t>Шампунь для всей семьи "CAREAL" «TEA TREE» /                                                  Shampoo for the whole family "CAREAL" «TEA TREE»</t>
  </si>
  <si>
    <t>Шампунь для всех типов волос "CAREAL" «FLOWER AROMA» /                                                                Shampoo for all hair types "CAREAL" «FLOWER AROMA»</t>
  </si>
  <si>
    <t>Стойкая крем-краска  для волос «Éclair» с маслами "OMEGA 9", тон 3.6                 Баклажан / Aubergine</t>
  </si>
  <si>
    <t>Стойкая крем-краска  для волос «Éclair» с маслами "OMEGA 9", тон 10.6    Жемчужно-серебристый / Pearl Silver Blonde</t>
  </si>
  <si>
    <t>Стойкая крем-краска  для волос «Éclair» с маслами "OMEGA 9", тон 6.73                 Эспрессо / Deep ash blonde</t>
  </si>
  <si>
    <t>Стойкая крем краска для волос  «Éclair» «3D», тон  5.77                                      Шоколадный каштан / Chocolate brown</t>
  </si>
  <si>
    <t>Стойкая крем краска для волос  «Éclair» «3D», тон 6.0                                                   Темно- русый / Dark blonde</t>
  </si>
  <si>
    <t>Стойкая крем краска для волос  «Éclair» «3D», тон  8.0                                                    Светло-русый / Light blonde</t>
  </si>
  <si>
    <t>Стойкая крем краска для волос  «Éclair» «3D», тон 4.77                                                  Темный орех / Nut brown</t>
  </si>
  <si>
    <t>Детская пресипка "UPPY" «Éclair» сохряняет сухост кожи 100 мл /                                 Baby powder "UPPY" "Éclair" keeps the skin dry 100 ml</t>
  </si>
  <si>
    <t xml:space="preserve">Шампунь для волос "BELANSA" «Éclair» 1100мл /                                                                        Shampoos for hair "BELANSA" «Éclair» </t>
  </si>
  <si>
    <t>Шампунь для частого применения, мягкость и зашита волос "BELANSA" «FAMILY» / Shampoo for comfort and hydration "BELANSA" «FAMILY»</t>
  </si>
  <si>
    <t>Шампунь для увлажнения и укрепления волос "BELANSA" «OLIVE» /                                                                Shampoo for moisturizing care "BELANSA" «OLIVE»</t>
  </si>
  <si>
    <t>Шампунь для волос кератиновая HAIREC /                                                                     Shampoo for shine and elasticity of hair  HAIREC "KERATIN"</t>
  </si>
  <si>
    <t>Шампунь для волос чесночная HAIREC /                                                                          Shampoo for natural volume and shine of hair HAIREC "GARLIC"</t>
  </si>
  <si>
    <t>Стойкая крем-краска  для волос «Éclair» с маслами "OMEGA 9", тон 100                     Блонд / Blond</t>
  </si>
  <si>
    <t>Стойкая крем-краска  для волос «Éclair» с маслами "OMEGA 9", тон 9.1                Пепельный / Very light blond ash</t>
  </si>
  <si>
    <t>Пенка для умывания лица "Amfiora"  «Éclair» , в тубах по 180 мл / Face foam cleancer 180 ml in tubes</t>
  </si>
  <si>
    <t xml:space="preserve">Шампунь для волос "REVITA" «Éclair» 730мл /                                                                        Shampoos for hair "REVITA" «Éclair» </t>
  </si>
  <si>
    <t xml:space="preserve">Шампунь для волос "HAIREC" «Éclair» 730мл /                                                                        Shampoos for hair "HAIREC" «Éclair» </t>
  </si>
  <si>
    <t>Шампунь для волос REVITA сила бамбука / Shampoo for hair REVITA strengthens the hair structure “BAMBOO POWER”</t>
  </si>
  <si>
    <t>Шампунь для волос REVITA морская волна / Shampoo for hair REVITA deeply cleanses the hair and sclap “SEA WAVE”</t>
  </si>
  <si>
    <t>Шампунь для волос REVITA ароматная симфония / Shampoo for hair REVITA gently cleanses and provides intensive hair care “FRAGRANT SYMPHONY”</t>
  </si>
  <si>
    <t>Шампунь для волос REVITA хлопковая легкость / Shampoo for hair REVITA help restore hair structure and brings back natural shine “COTTON LIGHTNESS”</t>
  </si>
  <si>
    <t xml:space="preserve">Шампунь для волос "BRIO" для мужчин «Éclair» 730мл /                                                                        Shampoos for hair "BRIO"  for men «Éclair» </t>
  </si>
  <si>
    <t xml:space="preserve">Бальзам для волос "REVITA" «Éclair» 710мл /                                                                        Hair balm "REVITA" «Éclair» </t>
  </si>
  <si>
    <t>Бальзам для волос REVITA бамбуковый уход / Hair balm REVITA intensively nourishes and helps restore hair structure "BAMBOO CARE"</t>
  </si>
  <si>
    <t>Бальзам для волос REVITA  морской прибой / Hair balm REVITA supports the hair restoration process “SEA SURF”</t>
  </si>
  <si>
    <t>Бальзам для волос REVITA  цветочная роскошь / Hair balm REVITA nourishes and helps restore the water-lipid balance "FLOWER LUXURY"</t>
  </si>
  <si>
    <t>Бальзам для волос REVITA  хлопковый блеск / Hair balm REVITA helps retain moisture within the hair structure “COTTON SHINE”</t>
  </si>
  <si>
    <t xml:space="preserve">Гель для душа "REVITA" «Éclair» 730мл /                                                                        Shower gel "REVITA" «Éclair» </t>
  </si>
  <si>
    <t xml:space="preserve">Гель для душа "BRIO" для мужчин «Éclair» 730мл /                                                                        Shower gel "BRIO"  for men «Éclair» </t>
  </si>
  <si>
    <t xml:space="preserve">Бальзам для волос "REVITA" «Éclair» 710мл /                                                                        Balm hair "REVITA" «Éclair» </t>
  </si>
  <si>
    <t>Шампунь для волос против перхоти HAIREC  /                                                                Shampoo for hair dries and regulates secretion HAIREC "ANTI-DANDRUFF"</t>
  </si>
  <si>
    <t>Шампунь для волос с аргановым маслом HAIREC /                                                         Shampoo for stabilization of water - lipid balance &amp; nutrition hair HAIREC "ARGAN OIL"</t>
  </si>
  <si>
    <t xml:space="preserve">Гель для душа "REVITA" «Éclair» 730мл /                                                                        Body wash "REVITA" «Éclair» </t>
  </si>
  <si>
    <t>Гель для душа REVITA  волшебство цветов / Body wash REVITA creates a unique sensation of freshnass and vitality “FLOWERS MAGIC”</t>
  </si>
  <si>
    <t>Гель для душа REVITA энергия хлопка / Body wash REVITA restores the water-lipid balance and retains natural moisture “COTTON ENERGY”</t>
  </si>
  <si>
    <t>Гель для душа REVITA  бамбуковая гармония / Body wash REVITA energizes and does not dry the skin “BAMBOO HARMONY”</t>
  </si>
  <si>
    <t>Крем для бритья BRIO for men «Éclair» в тубах по 75 мл /                                                                              Shaving cream BRIO for men «Éclair» 75 mlin tubes</t>
  </si>
  <si>
    <t>Крем после бритья BRIO for men «Éclair» в тубах по 50 мл /                                                                              After shave cream BRIO for men «Éclair» 50 ml in tubes</t>
  </si>
  <si>
    <t xml:space="preserve">Гель для душа "BRIO"  for men «Éclair» 730мл /                                                                        Body wash "BRIO"  for men «Éclair» </t>
  </si>
  <si>
    <t>Гель для душа BRIO for men экстримальная свежесть / Body wash BRIO for men stylish aroma &amp; long lasting freshness "EXTREME FRESHNESS"</t>
  </si>
  <si>
    <t>Гель для душа BRIO for men  активированный уголь / Body wash  BRIO for men water - lipid balance &amp; natural moisture  "ACTIVATED CARBON"</t>
  </si>
  <si>
    <t>Гель для душа BRIO for men  прохладный и свежий / Body wash BRIO for men  coolness &amp; a stylish aroma "COOL &amp; FRESH"</t>
  </si>
  <si>
    <t>Шампунь для волос BRIO for men экстримальная свежесть / Shampoo for hair BRIO for men deep cleansing and nourishment “EXTREME FRESHNESS”</t>
  </si>
  <si>
    <t>Шампунь для волос BRIO for men прохладный и свежий / Shampoo for hair BRIO for men menthol &amp; sebum control “COOL &amp; FRESH”</t>
  </si>
  <si>
    <t>Шампунь для волос BRIO for men активированный уголь / Shampoo for hair BRIO for men deep and mild cleansing “ACTIVATED CARBON”</t>
  </si>
  <si>
    <t xml:space="preserve">Шампунь для волос "BRIO" for men «Éclair» 730мл /                                                                        Shampoos for hair "BRIO"  for men «Éclair» </t>
  </si>
  <si>
    <t>Универсальное хозяйственное мыло «Éclair»"BARG" 175 гр / Universal Laundry soap «Éclair» "BARG"</t>
  </si>
  <si>
    <t>Жидкое крем-мыло SILQUA ECLAIR  Сочный персик                                                            Liquid cream soap SILQUA ECLAIR Juice Peach</t>
  </si>
  <si>
    <t>Десткое туалетное мыло "UPPY" «Éclair» не раздражает кожу 90 гр /  Baby soap "UPPY" "Éclair" does not irritate the skin 90 gr</t>
  </si>
  <si>
    <t>Детская пресипка "UPPY" «Éclair» сохряняет сухост кожи 100 мл /  Baby powder "UPPY" "Éclair" keeps the skin dry 100 ml</t>
  </si>
  <si>
    <t>Детский крем "UPPY" «Éclair» гипоаллергеенный 60 мл / Baby cream "UPPY" «Éclair» hypoallergenic 60 ml</t>
  </si>
  <si>
    <t>Детское масло "UPPY" «Éclair» для чуствительной кожи 160 мл / Baby oil "UPPY"«Éclair»  for sensitive skin 160 ml</t>
  </si>
  <si>
    <t>Детский шампунь "UPPY" «Éclair» без сульфатов и краситилей 250 мл / Baby shampoo "UPPY" «Éclair» without sulfates and dyes 250 ml</t>
  </si>
  <si>
    <t>Крем для бритья BRIO «Éclair» в тубах по 75 мл / Shaving cream BRIO «Éclair» 75 mlin tubes</t>
  </si>
  <si>
    <t>Крем после бритья BRIO «Éclair» в тубах по 50 мл / After shave cream BRIO «Éclair» 50 ml in tubes</t>
  </si>
  <si>
    <t>Стойкая крем краска для волос «Éclair» «3D», в тубах по 50 мл /                 Permanent hair color cream «Éclair» «3D», in tubes</t>
  </si>
  <si>
    <t xml:space="preserve">Шампун для волос "Amfiora"  «Éclair» 830 мл / Shampoo for hair 830 ml </t>
  </si>
  <si>
    <t xml:space="preserve">Шампун для волос 830 мл / Shampoo for hair 830 ml </t>
  </si>
  <si>
    <t>Туалетное мыло 140 гр. / Toilet soap 140 gr.</t>
  </si>
  <si>
    <t xml:space="preserve">Туалетное мыло "Amfiora"  «Éclair»140 гр. / Toilet soap 140 gr. </t>
  </si>
  <si>
    <t>Шампуни для волос «Éclair» 830 мл / Shampoos for hair «Éclair» 830 ml</t>
  </si>
  <si>
    <t>Шампуни для волос "Infra Care"  900 мл / Shampoos for hair "Infra Care"   900 ml</t>
  </si>
  <si>
    <t xml:space="preserve">Бальзам для волос "Infra Care" 900 мл /     Hair balm "Infra Care" «Éclair» 900 ml </t>
  </si>
  <si>
    <t>Шампуни для волос «INFRA CARE» парфюмерный аромат 830 мл /       Shampoos for hair «INFRA CARE» parfume aroma 830 ml</t>
  </si>
  <si>
    <t>Шампунь для волос "INFRA CARE" премиум уход - бриллиантовый блеск /                            Shampoo for hair "INFRA CARE" premium care - diamond shine</t>
  </si>
  <si>
    <t>Шампунь для волос "INFRA CARE" комлексный уход - глубокое увлажнения /                        Shampoo for hair "INFRA CARE" сomprehensive сare - deep hydration</t>
  </si>
  <si>
    <t>Шампунь с экстрактом молочной сыворотки, укрепления волос КОЗЬЕ МОЛОКО / Shampoo for hair GOAT MILK hair nourish restore</t>
  </si>
  <si>
    <t xml:space="preserve">Шампунь протеиновый уход и питание для всех типов волос КЕФИР /               Shampoo for hair SOUR MILK hair health nutrition  </t>
  </si>
  <si>
    <t xml:space="preserve">Шампунь для волос интенсивное питание яичный экстракт и лецитин ЯИЧНЫЙ ЖЕЛТОК / Shampoo for hair EGG YOLK hair gloss &amp; power </t>
  </si>
  <si>
    <t xml:space="preserve">Шампунь для жирных волос с экстрактом зелёного чая ЗЕЛЁНЫЙ ЧАЙ /        Shampoo for hair GREEN TEA hair natural revitalizing </t>
  </si>
  <si>
    <t>Шампунь для усиления роста волос с маслом репейника РЕПЕЙНИК /           Shampoo for hair BURDOCK OIL hair soft &amp; smooth</t>
  </si>
  <si>
    <t>Шампунь для увлажнение сухих волос, с экстрактом олоэ вера и д-пантенол АЛОЭ ВЕРА / Shampoo for hair ALOE VERA hair softens deeply</t>
  </si>
  <si>
    <t>Шампунь для увлажнения и укрепления волос "BELANSA" «PROPOLIS» /                                                                Shampoo for moisturizing care "BELANSA" «PROPOLIS»</t>
  </si>
  <si>
    <t xml:space="preserve">Женская линия спа-продуктов "Diledi" «Éclair» / Women's spa line </t>
  </si>
  <si>
    <t>Пенка для умывания лица Огуречный Cвежесть в тубах по 180 мл /                                Face foam cleancer Cucumber Freshness 180 ml in tubes</t>
  </si>
  <si>
    <t>Пенка для умывания лица Нежность Алое в тубах по 180 мл /                                        Face foam cleancer Aloe Tenderness 180 ml in tubes</t>
  </si>
  <si>
    <t>Гидрофильное гель-масло для умывания 200 мл / Hydrophilic Cleansing Gel-Oil 200 ml</t>
  </si>
  <si>
    <t>Ласьон для тела 300 мл / Body lotion 300 ml</t>
  </si>
  <si>
    <t>Скраб для тела по 400 мл / Body scrub 400 ml.</t>
  </si>
  <si>
    <t>Интимный гель 400 мл / Intimate gel 400 ml</t>
  </si>
  <si>
    <t xml:space="preserve">"Diledi" Пенка для умывания лица Нежность Алое в тубах по 180 мл /                                        Face foam cleancer </t>
  </si>
  <si>
    <t>"Diledi" Гидрофильное гель-масло для умывания 200 мл / Hydrophilic Cleansing Gel-Oil 200 ml</t>
  </si>
  <si>
    <t>"Diledi" Ласьон для тела 300 мл / Body lotion 300 ml</t>
  </si>
  <si>
    <t>"Diledi" Скраб для тела по 400 мл / Body scrub 400 ml.</t>
  </si>
  <si>
    <t>"Diledi" Интимный гель 400 мл / Intimate gel 400 ml</t>
  </si>
  <si>
    <t>Шампунь для волос "INFRA CARE" основной уход - нежная гладкость /                       Shampoo for hair "INFRA CARE" essential care - gentle smoothness</t>
  </si>
  <si>
    <t xml:space="preserve">Шампунь для волос INTENSIVE «Éclair»,  410 мл / Shampoo for hair  </t>
  </si>
  <si>
    <t>Шампунь для волос INTENSIVE «Éclair»,  410 мл / Shampoo for hair  INTENSIVE</t>
  </si>
  <si>
    <t>Гель для душа REVITA лагуна блаженства / Body wash REVITA delivers lasting freshness and makes the skin smoother “LAGOON OF BLISS”</t>
  </si>
  <si>
    <t>Шампунь  на каждый день, свежесть и объем волос "BELANSA" «CALENDULA» /                                                  Shampoo for ultra freshness "BELANSA" «CALENDULA»</t>
  </si>
  <si>
    <t>Крем для бритья BRIO for men охлаждающий эффект с витамином Е / Shaving cream BRIO for men  cool effect whith vitamin E</t>
  </si>
  <si>
    <t>Крем для бритья BRIO for men тонизирующий для чувсвительной кожи / Shaving cream BRIO for men whith a tonic effect</t>
  </si>
  <si>
    <t>Крем после бритья BRIO for men охлаждающий и тонизирующий /  After shave cream BRIO for men cool &amp; fresh</t>
  </si>
  <si>
    <t>Крем для бритья BRIO for men c активированным углем / Shaving cream  BRIO for men with activated carbon</t>
  </si>
  <si>
    <t>Крем после бритья BRIO for men c активированным углем / After shave cream BRIO for men with activated carbon</t>
  </si>
  <si>
    <t>Крем после бритья BRIO for men успакаивающий для чувствительной кожи / After shave cream BRIO for men soothing</t>
  </si>
  <si>
    <t>ЦИТРУСОВАЯ СВЕЖЕСТЬ / CITRUS FRESHNESS</t>
  </si>
  <si>
    <t>Крем-мыло «Éclair» 830 мл / Cream soap «Éclair» 830 ml</t>
  </si>
  <si>
    <t>Персик / Peach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</si>
</sst>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0.000"/>
  </numFmts>
  <fonts count="45" x14ac:knownFonts="1">
    <font>
      <sz val="10"/>
      <name val="Arial Cyr"/>
      <charset val="204"/>
    </font>
    <font>
      <sz val="10"/>
      <name val="Arial Cyr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u/>
      <sz val="8"/>
      <color indexed="12"/>
      <name val="Arial"/>
      <family val="2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10"/>
      <name val="Arial Cyr"/>
      <charset val="204"/>
    </font>
    <font>
      <sz val="9"/>
      <name val="Arial"/>
      <family val="2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i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1"/>
      <color rgb="FF0070C0"/>
      <name val="Arial"/>
      <family val="2"/>
      <charset val="204"/>
    </font>
    <font>
      <sz val="12"/>
      <color theme="0"/>
      <name val="Times New Roman"/>
      <family val="1"/>
      <charset val="204"/>
    </font>
    <font>
      <b/>
      <i/>
      <sz val="14"/>
      <color theme="0"/>
      <name val="Times New Roman"/>
      <family val="1"/>
      <charset val="204"/>
    </font>
    <font>
      <i/>
      <sz val="11"/>
      <color theme="0"/>
      <name val="Times New Roman"/>
      <family val="1"/>
      <charset val="204"/>
    </font>
    <font>
      <b/>
      <i/>
      <sz val="8"/>
      <color theme="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theme="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0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8"/>
      <color rgb="FFFF000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1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24" fillId="0" borderId="0"/>
    <xf numFmtId="0" fontId="1" fillId="0" borderId="0"/>
  </cellStyleXfs>
  <cellXfs count="222">
    <xf numFmtId="0" fontId="0" fillId="0" borderId="0" xfId="0"/>
    <xf numFmtId="0" fontId="17" fillId="0" borderId="1" xfId="2" applyFont="1" applyBorder="1" applyAlignment="1" applyProtection="1">
      <alignment horizontal="center" wrapText="1"/>
      <protection hidden="1"/>
    </xf>
    <xf numFmtId="0" fontId="17" fillId="0" borderId="1" xfId="1" applyFont="1" applyBorder="1" applyAlignment="1" applyProtection="1">
      <alignment horizontal="center" wrapText="1"/>
      <protection hidden="1"/>
    </xf>
    <xf numFmtId="0" fontId="17" fillId="0" borderId="1" xfId="1" applyFont="1" applyBorder="1" applyAlignment="1" applyProtection="1">
      <alignment wrapText="1"/>
      <protection hidden="1"/>
    </xf>
    <xf numFmtId="1" fontId="16" fillId="3" borderId="1" xfId="1" applyNumberFormat="1" applyFont="1" applyFill="1" applyBorder="1" applyAlignment="1" applyProtection="1">
      <alignment horizontal="center" wrapText="1"/>
      <protection hidden="1"/>
    </xf>
    <xf numFmtId="0" fontId="2" fillId="2" borderId="1" xfId="1" applyFont="1" applyFill="1" applyBorder="1" applyAlignment="1" applyProtection="1">
      <alignment horizontal="center" wrapText="1"/>
      <protection hidden="1"/>
    </xf>
    <xf numFmtId="0" fontId="2" fillId="2" borderId="1" xfId="1" applyFont="1" applyFill="1" applyBorder="1" applyAlignment="1" applyProtection="1">
      <alignment horizontal="right" wrapText="1"/>
      <protection hidden="1"/>
    </xf>
    <xf numFmtId="0" fontId="3" fillId="0" borderId="0" xfId="1" applyFont="1" applyAlignment="1" applyProtection="1">
      <alignment wrapText="1"/>
      <protection hidden="1"/>
    </xf>
    <xf numFmtId="0" fontId="17" fillId="0" borderId="1" xfId="2" applyFont="1" applyBorder="1" applyAlignment="1" applyProtection="1">
      <alignment wrapText="1"/>
      <protection hidden="1"/>
    </xf>
    <xf numFmtId="0" fontId="9" fillId="0" borderId="0" xfId="1" applyFont="1" applyAlignment="1" applyProtection="1">
      <alignment horizontal="center" wrapText="1"/>
      <protection hidden="1"/>
    </xf>
    <xf numFmtId="0" fontId="9" fillId="0" borderId="0" xfId="1" applyFont="1" applyAlignment="1" applyProtection="1">
      <alignment wrapText="1"/>
      <protection hidden="1"/>
    </xf>
    <xf numFmtId="0" fontId="2" fillId="0" borderId="0" xfId="1" applyFont="1" applyAlignment="1" applyProtection="1">
      <alignment wrapText="1"/>
      <protection hidden="1"/>
    </xf>
    <xf numFmtId="0" fontId="9" fillId="0" borderId="0" xfId="1" applyFont="1" applyAlignment="1" applyProtection="1">
      <alignment horizontal="right" wrapText="1"/>
      <protection hidden="1"/>
    </xf>
    <xf numFmtId="0" fontId="5" fillId="0" borderId="0" xfId="1" applyFont="1" applyAlignment="1" applyProtection="1">
      <alignment horizontal="center" vertical="center" wrapText="1"/>
      <protection hidden="1"/>
    </xf>
    <xf numFmtId="0" fontId="5" fillId="0" borderId="0" xfId="1" applyFont="1" applyAlignment="1" applyProtection="1">
      <alignment vertical="center" wrapText="1"/>
      <protection hidden="1"/>
    </xf>
    <xf numFmtId="4" fontId="7" fillId="0" borderId="0" xfId="1" applyNumberFormat="1" applyFont="1" applyAlignment="1" applyProtection="1">
      <alignment wrapText="1"/>
      <protection hidden="1"/>
    </xf>
    <xf numFmtId="0" fontId="17" fillId="0" borderId="1" xfId="1" applyFont="1" applyBorder="1" applyAlignment="1" applyProtection="1">
      <alignment horizontal="right" wrapText="1"/>
      <protection hidden="1"/>
    </xf>
    <xf numFmtId="0" fontId="17" fillId="6" borderId="1" xfId="1" applyFont="1" applyFill="1" applyBorder="1" applyAlignment="1" applyProtection="1">
      <alignment horizontal="center" wrapText="1"/>
      <protection hidden="1"/>
    </xf>
    <xf numFmtId="0" fontId="17" fillId="0" borderId="1" xfId="1" applyFont="1" applyBorder="1" applyAlignment="1" applyProtection="1">
      <alignment wrapText="1"/>
      <protection locked="0" hidden="1"/>
    </xf>
    <xf numFmtId="0" fontId="15" fillId="0" borderId="1" xfId="1" applyFont="1" applyBorder="1" applyAlignment="1" applyProtection="1">
      <alignment wrapText="1"/>
      <protection hidden="1"/>
    </xf>
    <xf numFmtId="0" fontId="8" fillId="0" borderId="0" xfId="1" applyFont="1" applyAlignment="1" applyProtection="1">
      <alignment wrapText="1"/>
      <protection locked="0"/>
    </xf>
    <xf numFmtId="0" fontId="8" fillId="0" borderId="1" xfId="1" applyFont="1" applyBorder="1" applyAlignment="1" applyProtection="1">
      <alignment wrapText="1"/>
      <protection locked="0"/>
    </xf>
    <xf numFmtId="165" fontId="5" fillId="0" borderId="1" xfId="1" applyNumberFormat="1" applyFont="1" applyBorder="1" applyAlignment="1" applyProtection="1">
      <alignment horizontal="center" vertical="center" wrapText="1"/>
      <protection locked="0"/>
    </xf>
    <xf numFmtId="164" fontId="5" fillId="0" borderId="1" xfId="1" applyNumberFormat="1" applyFont="1" applyBorder="1" applyAlignment="1" applyProtection="1">
      <alignment horizontal="center" vertical="center" wrapText="1"/>
      <protection locked="0"/>
    </xf>
    <xf numFmtId="4" fontId="5" fillId="0" borderId="1" xfId="1" applyNumberFormat="1" applyFont="1" applyBorder="1" applyAlignment="1" applyProtection="1">
      <alignment horizontal="center" vertical="center" wrapText="1"/>
      <protection locked="0"/>
    </xf>
    <xf numFmtId="0" fontId="6" fillId="0" borderId="1" xfId="1" applyFont="1" applyBorder="1" applyAlignment="1" applyProtection="1">
      <alignment wrapText="1"/>
      <protection locked="0"/>
    </xf>
    <xf numFmtId="0" fontId="6" fillId="0" borderId="1" xfId="1" applyFont="1" applyBorder="1" applyAlignment="1" applyProtection="1">
      <alignment horizontal="center" wrapText="1"/>
      <protection locked="0"/>
    </xf>
    <xf numFmtId="165" fontId="8" fillId="0" borderId="1" xfId="1" applyNumberFormat="1" applyFont="1" applyBorder="1" applyAlignment="1" applyProtection="1">
      <alignment horizontal="right" wrapText="1"/>
      <protection locked="0"/>
    </xf>
    <xf numFmtId="165" fontId="12" fillId="0" borderId="1" xfId="1" applyNumberFormat="1" applyFont="1" applyBorder="1" applyAlignment="1" applyProtection="1">
      <alignment horizontal="right" wrapText="1"/>
      <protection locked="0"/>
    </xf>
    <xf numFmtId="164" fontId="12" fillId="0" borderId="1" xfId="1" applyNumberFormat="1" applyFont="1" applyBorder="1" applyAlignment="1" applyProtection="1">
      <alignment horizontal="right" wrapText="1"/>
      <protection locked="0"/>
    </xf>
    <xf numFmtId="1" fontId="12" fillId="0" borderId="1" xfId="1" applyNumberFormat="1" applyFont="1" applyBorder="1" applyAlignment="1" applyProtection="1">
      <alignment wrapText="1"/>
      <protection locked="0"/>
    </xf>
    <xf numFmtId="2" fontId="12" fillId="0" borderId="1" xfId="1" applyNumberFormat="1" applyFont="1" applyBorder="1" applyAlignment="1" applyProtection="1">
      <alignment wrapText="1"/>
      <protection locked="0"/>
    </xf>
    <xf numFmtId="4" fontId="12" fillId="0" borderId="1" xfId="1" applyNumberFormat="1" applyFont="1" applyBorder="1" applyAlignment="1" applyProtection="1">
      <alignment horizontal="right" wrapText="1"/>
      <protection locked="0"/>
    </xf>
    <xf numFmtId="164" fontId="6" fillId="0" borderId="1" xfId="1" applyNumberFormat="1" applyFont="1" applyBorder="1" applyAlignment="1" applyProtection="1">
      <alignment horizontal="right" wrapText="1"/>
      <protection locked="0"/>
    </xf>
    <xf numFmtId="4" fontId="6" fillId="0" borderId="1" xfId="1" applyNumberFormat="1" applyFont="1" applyBorder="1" applyAlignment="1" applyProtection="1">
      <alignment horizontal="right" wrapText="1"/>
      <protection locked="0"/>
    </xf>
    <xf numFmtId="2" fontId="13" fillId="4" borderId="1" xfId="1" applyNumberFormat="1" applyFont="1" applyFill="1" applyBorder="1" applyAlignment="1" applyProtection="1">
      <alignment wrapText="1"/>
      <protection locked="0"/>
    </xf>
    <xf numFmtId="165" fontId="8" fillId="0" borderId="0" xfId="1" applyNumberFormat="1" applyFont="1" applyAlignment="1" applyProtection="1">
      <alignment horizontal="right" wrapText="1"/>
      <protection locked="0"/>
    </xf>
    <xf numFmtId="164" fontId="6" fillId="0" borderId="0" xfId="1" applyNumberFormat="1" applyFont="1" applyAlignment="1" applyProtection="1">
      <alignment horizontal="right" wrapText="1"/>
      <protection locked="0"/>
    </xf>
    <xf numFmtId="4" fontId="6" fillId="0" borderId="0" xfId="1" applyNumberFormat="1" applyFont="1" applyAlignment="1" applyProtection="1">
      <alignment horizontal="right" wrapText="1"/>
      <protection locked="0"/>
    </xf>
    <xf numFmtId="0" fontId="17" fillId="5" borderId="1" xfId="1" applyFont="1" applyFill="1" applyBorder="1" applyAlignment="1" applyProtection="1">
      <alignment wrapText="1"/>
      <protection locked="0" hidden="1"/>
    </xf>
    <xf numFmtId="3" fontId="2" fillId="2" borderId="1" xfId="1" applyNumberFormat="1" applyFont="1" applyFill="1" applyBorder="1" applyAlignment="1" applyProtection="1">
      <alignment horizontal="center" wrapText="1"/>
      <protection hidden="1"/>
    </xf>
    <xf numFmtId="165" fontId="8" fillId="6" borderId="1" xfId="1" applyNumberFormat="1" applyFont="1" applyFill="1" applyBorder="1" applyAlignment="1" applyProtection="1">
      <alignment horizontal="right" wrapText="1"/>
      <protection locked="0"/>
    </xf>
    <xf numFmtId="165" fontId="12" fillId="6" borderId="1" xfId="1" applyNumberFormat="1" applyFont="1" applyFill="1" applyBorder="1" applyAlignment="1" applyProtection="1">
      <alignment horizontal="right" wrapText="1"/>
      <protection locked="0"/>
    </xf>
    <xf numFmtId="164" fontId="12" fillId="6" borderId="1" xfId="1" applyNumberFormat="1" applyFont="1" applyFill="1" applyBorder="1" applyAlignment="1" applyProtection="1">
      <alignment horizontal="right" wrapText="1"/>
      <protection locked="0"/>
    </xf>
    <xf numFmtId="0" fontId="17" fillId="5" borderId="1" xfId="1" applyFont="1" applyFill="1" applyBorder="1" applyAlignment="1" applyProtection="1">
      <alignment horizontal="right" wrapText="1"/>
      <protection locked="0" hidden="1"/>
    </xf>
    <xf numFmtId="0" fontId="17" fillId="0" borderId="1" xfId="1" applyFont="1" applyBorder="1" applyAlignment="1" applyProtection="1">
      <alignment horizontal="center" vertical="center" wrapText="1"/>
      <protection hidden="1"/>
    </xf>
    <xf numFmtId="0" fontId="2" fillId="0" borderId="1" xfId="1" applyFont="1" applyBorder="1" applyAlignment="1" applyProtection="1">
      <alignment horizontal="center" vertical="center" wrapText="1"/>
      <protection hidden="1"/>
    </xf>
    <xf numFmtId="4" fontId="23" fillId="0" borderId="0" xfId="1" applyNumberFormat="1" applyFont="1" applyAlignment="1" applyProtection="1">
      <alignment wrapText="1"/>
      <protection hidden="1"/>
    </xf>
    <xf numFmtId="4" fontId="23" fillId="0" borderId="0" xfId="1" applyNumberFormat="1" applyFont="1" applyAlignment="1" applyProtection="1">
      <alignment horizontal="right" wrapText="1"/>
      <protection hidden="1"/>
    </xf>
    <xf numFmtId="0" fontId="5" fillId="0" borderId="1" xfId="1" applyFont="1" applyBorder="1" applyAlignment="1" applyProtection="1">
      <alignment horizontal="center" vertical="center" wrapText="1"/>
      <protection locked="0"/>
    </xf>
    <xf numFmtId="2" fontId="1" fillId="0" borderId="1" xfId="1" applyNumberFormat="1" applyFont="1" applyBorder="1" applyAlignment="1" applyProtection="1">
      <alignment wrapText="1"/>
      <protection locked="0"/>
    </xf>
    <xf numFmtId="0" fontId="1" fillId="0" borderId="0" xfId="1" applyFont="1" applyAlignment="1" applyProtection="1">
      <alignment wrapText="1"/>
      <protection locked="0"/>
    </xf>
    <xf numFmtId="1" fontId="1" fillId="0" borderId="0" xfId="1" applyNumberFormat="1" applyFont="1" applyAlignment="1" applyProtection="1">
      <alignment wrapText="1"/>
      <protection locked="0"/>
    </xf>
    <xf numFmtId="0" fontId="17" fillId="5" borderId="1" xfId="2" applyFont="1" applyFill="1" applyBorder="1" applyAlignment="1" applyProtection="1">
      <alignment wrapText="1"/>
      <protection hidden="1"/>
    </xf>
    <xf numFmtId="0" fontId="17" fillId="6" borderId="1" xfId="2" applyFont="1" applyFill="1" applyBorder="1" applyAlignment="1" applyProtection="1">
      <alignment wrapText="1"/>
      <protection hidden="1"/>
    </xf>
    <xf numFmtId="0" fontId="17" fillId="0" borderId="1" xfId="11" applyFont="1" applyBorder="1" applyAlignment="1" applyProtection="1">
      <alignment wrapText="1"/>
      <protection hidden="1"/>
    </xf>
    <xf numFmtId="0" fontId="2" fillId="5" borderId="1" xfId="1" applyFont="1" applyFill="1" applyBorder="1" applyAlignment="1" applyProtection="1">
      <alignment horizontal="right" wrapText="1"/>
      <protection locked="0" hidden="1"/>
    </xf>
    <xf numFmtId="0" fontId="17" fillId="0" borderId="1" xfId="12" applyFont="1" applyBorder="1" applyAlignment="1" applyProtection="1">
      <alignment horizontal="center" wrapText="1"/>
      <protection hidden="1"/>
    </xf>
    <xf numFmtId="0" fontId="5" fillId="0" borderId="1" xfId="1" applyFont="1" applyBorder="1" applyAlignment="1" applyProtection="1">
      <alignment horizontal="left" vertical="center" wrapText="1"/>
      <protection locked="0"/>
    </xf>
    <xf numFmtId="0" fontId="8" fillId="0" borderId="1" xfId="1" applyFont="1" applyBorder="1" applyAlignment="1" applyProtection="1">
      <alignment horizontal="left" vertical="center" wrapText="1"/>
      <protection locked="0"/>
    </xf>
    <xf numFmtId="0" fontId="6" fillId="0" borderId="1" xfId="1" applyFont="1" applyBorder="1" applyAlignment="1" applyProtection="1">
      <alignment horizontal="left" vertical="center" wrapText="1"/>
      <protection locked="0"/>
    </xf>
    <xf numFmtId="3" fontId="6" fillId="0" borderId="1" xfId="1" applyNumberFormat="1" applyFont="1" applyBorder="1" applyAlignment="1" applyProtection="1">
      <alignment horizontal="left" vertical="center" wrapText="1"/>
      <protection locked="0"/>
    </xf>
    <xf numFmtId="0" fontId="3" fillId="0" borderId="1" xfId="1" applyFont="1" applyBorder="1" applyAlignment="1" applyProtection="1">
      <alignment horizontal="center" wrapText="1"/>
      <protection hidden="1"/>
    </xf>
    <xf numFmtId="4" fontId="16" fillId="3" borderId="1" xfId="1" applyNumberFormat="1" applyFont="1" applyFill="1" applyBorder="1" applyAlignment="1" applyProtection="1">
      <alignment horizontal="center" wrapText="1"/>
      <protection hidden="1"/>
    </xf>
    <xf numFmtId="0" fontId="17" fillId="0" borderId="1" xfId="10" applyFont="1" applyBorder="1" applyAlignment="1" applyProtection="1">
      <alignment vertical="center" wrapText="1"/>
      <protection hidden="1"/>
    </xf>
    <xf numFmtId="0" fontId="17" fillId="0" borderId="1" xfId="9" applyFont="1" applyBorder="1" applyAlignment="1" applyProtection="1">
      <alignment wrapText="1"/>
      <protection hidden="1"/>
    </xf>
    <xf numFmtId="0" fontId="17" fillId="0" borderId="1" xfId="9" applyFont="1" applyBorder="1" applyAlignment="1" applyProtection="1">
      <alignment vertical="center" wrapText="1"/>
      <protection hidden="1"/>
    </xf>
    <xf numFmtId="0" fontId="17" fillId="0" borderId="1" xfId="1" applyFont="1" applyBorder="1" applyAlignment="1" applyProtection="1">
      <alignment horizontal="left" wrapText="1"/>
      <protection hidden="1"/>
    </xf>
    <xf numFmtId="3" fontId="17" fillId="0" borderId="1" xfId="1" applyNumberFormat="1" applyFont="1" applyBorder="1" applyAlignment="1" applyProtection="1">
      <alignment wrapText="1"/>
      <protection hidden="1"/>
    </xf>
    <xf numFmtId="0" fontId="25" fillId="0" borderId="1" xfId="1" applyFont="1" applyBorder="1" applyAlignment="1" applyProtection="1">
      <alignment wrapText="1"/>
      <protection hidden="1"/>
    </xf>
    <xf numFmtId="0" fontId="8" fillId="0" borderId="0" xfId="14" applyFont="1" applyAlignment="1" applyProtection="1">
      <alignment wrapText="1"/>
      <protection locked="0"/>
    </xf>
    <xf numFmtId="0" fontId="1" fillId="0" borderId="0" xfId="14" applyAlignment="1" applyProtection="1">
      <alignment wrapText="1"/>
      <protection locked="0"/>
    </xf>
    <xf numFmtId="1" fontId="1" fillId="0" borderId="0" xfId="14" applyNumberFormat="1" applyAlignment="1" applyProtection="1">
      <alignment wrapText="1"/>
      <protection locked="0"/>
    </xf>
    <xf numFmtId="4" fontId="6" fillId="0" borderId="0" xfId="14" applyNumberFormat="1" applyFont="1" applyAlignment="1" applyProtection="1">
      <alignment horizontal="right" wrapText="1"/>
      <protection locked="0"/>
    </xf>
    <xf numFmtId="164" fontId="6" fillId="0" borderId="0" xfId="14" applyNumberFormat="1" applyFont="1" applyAlignment="1" applyProtection="1">
      <alignment horizontal="right" wrapText="1"/>
      <protection locked="0"/>
    </xf>
    <xf numFmtId="165" fontId="8" fillId="0" borderId="0" xfId="14" applyNumberFormat="1" applyFont="1" applyAlignment="1" applyProtection="1">
      <alignment horizontal="right" wrapText="1"/>
      <protection locked="0"/>
    </xf>
    <xf numFmtId="2" fontId="13" fillId="4" borderId="1" xfId="14" applyNumberFormat="1" applyFont="1" applyFill="1" applyBorder="1" applyAlignment="1" applyProtection="1">
      <alignment wrapText="1"/>
      <protection locked="0"/>
    </xf>
    <xf numFmtId="4" fontId="6" fillId="0" borderId="1" xfId="14" applyNumberFormat="1" applyFont="1" applyBorder="1" applyAlignment="1" applyProtection="1">
      <alignment horizontal="right" wrapText="1"/>
      <protection locked="0"/>
    </xf>
    <xf numFmtId="164" fontId="6" fillId="0" borderId="1" xfId="14" applyNumberFormat="1" applyFont="1" applyBorder="1" applyAlignment="1" applyProtection="1">
      <alignment horizontal="right" wrapText="1"/>
      <protection locked="0"/>
    </xf>
    <xf numFmtId="165" fontId="8" fillId="0" borderId="1" xfId="14" applyNumberFormat="1" applyFont="1" applyBorder="1" applyAlignment="1" applyProtection="1">
      <alignment horizontal="right" wrapText="1"/>
      <protection locked="0"/>
    </xf>
    <xf numFmtId="0" fontId="6" fillId="0" borderId="1" xfId="14" applyFont="1" applyBorder="1" applyAlignment="1" applyProtection="1">
      <alignment horizontal="left" vertical="center" wrapText="1"/>
      <protection locked="0"/>
    </xf>
    <xf numFmtId="0" fontId="8" fillId="0" borderId="1" xfId="14" applyFont="1" applyBorder="1" applyAlignment="1" applyProtection="1">
      <alignment wrapText="1"/>
      <protection locked="0"/>
    </xf>
    <xf numFmtId="0" fontId="6" fillId="0" borderId="1" xfId="14" applyFont="1" applyBorder="1" applyAlignment="1" applyProtection="1">
      <alignment wrapText="1"/>
      <protection locked="0"/>
    </xf>
    <xf numFmtId="2" fontId="1" fillId="0" borderId="1" xfId="14" applyNumberFormat="1" applyBorder="1" applyAlignment="1" applyProtection="1">
      <alignment wrapText="1"/>
      <protection locked="0"/>
    </xf>
    <xf numFmtId="1" fontId="12" fillId="0" borderId="1" xfId="14" applyNumberFormat="1" applyFont="1" applyBorder="1" applyAlignment="1" applyProtection="1">
      <alignment wrapText="1"/>
      <protection locked="0"/>
    </xf>
    <xf numFmtId="165" fontId="12" fillId="6" borderId="1" xfId="14" applyNumberFormat="1" applyFont="1" applyFill="1" applyBorder="1" applyAlignment="1" applyProtection="1">
      <alignment horizontal="right" wrapText="1"/>
      <protection locked="0"/>
    </xf>
    <xf numFmtId="165" fontId="12" fillId="0" borderId="1" xfId="14" applyNumberFormat="1" applyFont="1" applyBorder="1" applyAlignment="1" applyProtection="1">
      <alignment horizontal="right" wrapText="1"/>
      <protection locked="0"/>
    </xf>
    <xf numFmtId="0" fontId="6" fillId="0" borderId="1" xfId="14" applyFont="1" applyBorder="1" applyAlignment="1" applyProtection="1">
      <alignment horizontal="center" wrapText="1"/>
      <protection locked="0"/>
    </xf>
    <xf numFmtId="165" fontId="8" fillId="6" borderId="1" xfId="14" applyNumberFormat="1" applyFont="1" applyFill="1" applyBorder="1" applyAlignment="1" applyProtection="1">
      <alignment horizontal="right" wrapText="1"/>
      <protection locked="0"/>
    </xf>
    <xf numFmtId="164" fontId="12" fillId="0" borderId="1" xfId="14" applyNumberFormat="1" applyFont="1" applyBorder="1" applyAlignment="1" applyProtection="1">
      <alignment horizontal="right" wrapText="1"/>
      <protection locked="0"/>
    </xf>
    <xf numFmtId="4" fontId="5" fillId="0" borderId="1" xfId="14" applyNumberFormat="1" applyFont="1" applyBorder="1" applyAlignment="1" applyProtection="1">
      <alignment horizontal="center" vertical="center" wrapText="1"/>
      <protection locked="0"/>
    </xf>
    <xf numFmtId="164" fontId="5" fillId="0" borderId="1" xfId="14" applyNumberFormat="1" applyFont="1" applyBorder="1" applyAlignment="1" applyProtection="1">
      <alignment horizontal="center" vertical="center" wrapText="1"/>
      <protection locked="0"/>
    </xf>
    <xf numFmtId="165" fontId="5" fillId="0" borderId="1" xfId="14" applyNumberFormat="1" applyFont="1" applyBorder="1" applyAlignment="1" applyProtection="1">
      <alignment horizontal="center" vertical="center" wrapText="1"/>
      <protection locked="0"/>
    </xf>
    <xf numFmtId="0" fontId="8" fillId="0" borderId="1" xfId="14" applyFont="1" applyBorder="1" applyAlignment="1" applyProtection="1">
      <alignment horizontal="left" vertical="center" wrapText="1"/>
      <protection locked="0"/>
    </xf>
    <xf numFmtId="0" fontId="1" fillId="0" borderId="1" xfId="14" applyBorder="1" applyAlignment="1" applyProtection="1">
      <alignment wrapText="1"/>
      <protection locked="0"/>
    </xf>
    <xf numFmtId="1" fontId="1" fillId="0" borderId="1" xfId="14" applyNumberFormat="1" applyBorder="1" applyAlignment="1" applyProtection="1">
      <alignment wrapText="1"/>
      <protection locked="0"/>
    </xf>
    <xf numFmtId="0" fontId="5" fillId="0" borderId="1" xfId="14" applyFont="1" applyBorder="1" applyAlignment="1" applyProtection="1">
      <alignment horizontal="left" vertical="center" wrapText="1"/>
      <protection locked="0"/>
    </xf>
    <xf numFmtId="0" fontId="5" fillId="0" borderId="1" xfId="14" applyFont="1" applyBorder="1" applyAlignment="1" applyProtection="1">
      <alignment horizontal="center" vertical="center" wrapText="1"/>
      <protection locked="0"/>
    </xf>
    <xf numFmtId="0" fontId="17" fillId="0" borderId="0" xfId="1" applyFont="1" applyProtection="1">
      <protection hidden="1"/>
    </xf>
    <xf numFmtId="4" fontId="17" fillId="0" borderId="0" xfId="1" applyNumberFormat="1" applyFont="1" applyProtection="1">
      <protection hidden="1"/>
    </xf>
    <xf numFmtId="0" fontId="17" fillId="0" borderId="0" xfId="1" applyFont="1" applyAlignment="1" applyProtection="1">
      <alignment horizontal="right"/>
      <protection hidden="1"/>
    </xf>
    <xf numFmtId="4" fontId="20" fillId="0" borderId="0" xfId="1" applyNumberFormat="1" applyFont="1" applyAlignment="1" applyProtection="1">
      <alignment horizontal="right"/>
      <protection hidden="1"/>
    </xf>
    <xf numFmtId="3" fontId="17" fillId="0" borderId="1" xfId="1" applyNumberFormat="1" applyFont="1" applyBorder="1" applyAlignment="1" applyProtection="1">
      <alignment horizontal="left" wrapText="1"/>
      <protection hidden="1"/>
    </xf>
    <xf numFmtId="0" fontId="2" fillId="2" borderId="1" xfId="7" applyFont="1" applyFill="1" applyBorder="1" applyAlignment="1" applyProtection="1">
      <alignment horizontal="center" vertical="center" wrapText="1"/>
      <protection hidden="1"/>
    </xf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2" fillId="2" borderId="1" xfId="4" applyFont="1" applyFill="1" applyBorder="1" applyAlignment="1" applyProtection="1">
      <alignment horizontal="center" vertical="center" wrapText="1"/>
      <protection hidden="1"/>
    </xf>
    <xf numFmtId="3" fontId="2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2" fillId="2" borderId="1" xfId="7" applyFont="1" applyFill="1" applyBorder="1" applyAlignment="1" applyProtection="1">
      <alignment horizontal="right" vertical="center" wrapText="1"/>
      <protection hidden="1"/>
    </xf>
    <xf numFmtId="2" fontId="26" fillId="2" borderId="1" xfId="7" applyNumberFormat="1" applyFont="1" applyFill="1" applyBorder="1" applyAlignment="1" applyProtection="1">
      <alignment horizontal="right" vertical="center" wrapText="1"/>
      <protection hidden="1"/>
    </xf>
    <xf numFmtId="1" fontId="2" fillId="2" borderId="1" xfId="7" applyNumberFormat="1" applyFont="1" applyFill="1" applyBorder="1" applyAlignment="1" applyProtection="1">
      <alignment horizontal="right" vertical="center" wrapText="1"/>
      <protection hidden="1"/>
    </xf>
    <xf numFmtId="2" fontId="26" fillId="0" borderId="1" xfId="0" applyNumberFormat="1" applyFont="1" applyBorder="1" applyAlignment="1">
      <alignment horizontal="right" vertical="center" wrapText="1"/>
    </xf>
    <xf numFmtId="2" fontId="26" fillId="0" borderId="1" xfId="0" applyNumberFormat="1" applyFont="1" applyBorder="1" applyAlignment="1">
      <alignment horizontal="right" vertical="center"/>
    </xf>
    <xf numFmtId="2" fontId="26" fillId="0" borderId="1" xfId="1" applyNumberFormat="1" applyFont="1" applyBorder="1" applyAlignment="1" applyProtection="1">
      <alignment horizontal="right" vertical="center" wrapText="1"/>
      <protection hidden="1"/>
    </xf>
    <xf numFmtId="0" fontId="2" fillId="2" borderId="1" xfId="1" applyFont="1" applyFill="1" applyBorder="1" applyAlignment="1" applyProtection="1">
      <alignment horizontal="right" vertical="center" wrapText="1"/>
      <protection hidden="1"/>
    </xf>
    <xf numFmtId="0" fontId="17" fillId="2" borderId="1" xfId="1" applyFont="1" applyFill="1" applyBorder="1" applyAlignment="1" applyProtection="1">
      <alignment horizontal="right" vertical="center" wrapText="1"/>
      <protection hidden="1"/>
    </xf>
    <xf numFmtId="0" fontId="2" fillId="2" borderId="1" xfId="4" applyFont="1" applyFill="1" applyBorder="1" applyAlignment="1" applyProtection="1">
      <alignment horizontal="right" vertical="center" wrapText="1"/>
      <protection hidden="1"/>
    </xf>
    <xf numFmtId="0" fontId="3" fillId="2" borderId="1" xfId="1" applyFont="1" applyFill="1" applyBorder="1" applyAlignment="1" applyProtection="1">
      <alignment horizontal="right" vertical="center" wrapText="1"/>
      <protection hidden="1"/>
    </xf>
    <xf numFmtId="3" fontId="2" fillId="2" borderId="1" xfId="1" applyNumberFormat="1" applyFont="1" applyFill="1" applyBorder="1" applyAlignment="1" applyProtection="1">
      <alignment horizontal="right" vertical="center" wrapText="1"/>
      <protection hidden="1"/>
    </xf>
    <xf numFmtId="4" fontId="16" fillId="0" borderId="1" xfId="1" applyNumberFormat="1" applyFont="1" applyBorder="1" applyAlignment="1" applyProtection="1">
      <alignment horizontal="center" vertical="center" wrapText="1"/>
      <protection hidden="1"/>
    </xf>
    <xf numFmtId="1" fontId="27" fillId="0" borderId="1" xfId="0" applyNumberFormat="1" applyFont="1" applyBorder="1" applyAlignment="1">
      <alignment horizontal="right" vertical="center"/>
    </xf>
    <xf numFmtId="1" fontId="28" fillId="0" borderId="1" xfId="0" applyNumberFormat="1" applyFont="1" applyBorder="1" applyAlignment="1">
      <alignment horizontal="right" vertical="center"/>
    </xf>
    <xf numFmtId="1" fontId="29" fillId="2" borderId="1" xfId="1" applyNumberFormat="1" applyFont="1" applyFill="1" applyBorder="1" applyAlignment="1" applyProtection="1">
      <alignment horizontal="right" vertical="center" wrapText="1"/>
      <protection hidden="1"/>
    </xf>
    <xf numFmtId="1" fontId="28" fillId="0" borderId="1" xfId="0" applyNumberFormat="1" applyFont="1" applyBorder="1" applyAlignment="1">
      <alignment horizontal="right" vertical="center" wrapText="1"/>
    </xf>
    <xf numFmtId="1" fontId="29" fillId="2" borderId="1" xfId="7" applyNumberFormat="1" applyFont="1" applyFill="1" applyBorder="1" applyAlignment="1" applyProtection="1">
      <alignment horizontal="right" vertical="center" wrapText="1"/>
      <protection hidden="1"/>
    </xf>
    <xf numFmtId="1" fontId="30" fillId="0" borderId="1" xfId="1" applyNumberFormat="1" applyFont="1" applyBorder="1" applyAlignment="1" applyProtection="1">
      <alignment horizontal="right" vertical="center" wrapText="1"/>
      <protection hidden="1"/>
    </xf>
    <xf numFmtId="0" fontId="2" fillId="0" borderId="0" xfId="1" applyFont="1" applyAlignment="1" applyProtection="1">
      <alignment horizontal="right" wrapText="1"/>
      <protection hidden="1"/>
    </xf>
    <xf numFmtId="1" fontId="2" fillId="2" borderId="1" xfId="1" applyNumberFormat="1" applyFont="1" applyFill="1" applyBorder="1" applyAlignment="1" applyProtection="1">
      <alignment horizontal="right" vertical="center" wrapText="1"/>
      <protection hidden="1"/>
    </xf>
    <xf numFmtId="0" fontId="2" fillId="5" borderId="1" xfId="1" applyFont="1" applyFill="1" applyBorder="1" applyAlignment="1" applyProtection="1">
      <alignment wrapText="1"/>
      <protection locked="0" hidden="1"/>
    </xf>
    <xf numFmtId="0" fontId="2" fillId="5" borderId="1" xfId="1" applyFont="1" applyFill="1" applyBorder="1" applyAlignment="1" applyProtection="1">
      <alignment vertical="center" wrapText="1"/>
      <protection locked="0" hidden="1"/>
    </xf>
    <xf numFmtId="0" fontId="16" fillId="0" borderId="1" xfId="1" applyFont="1" applyBorder="1" applyAlignment="1" applyProtection="1">
      <alignment horizontal="center" vertical="center" textRotation="90" wrapText="1"/>
      <protection hidden="1"/>
    </xf>
    <xf numFmtId="166" fontId="12" fillId="0" borderId="1" xfId="14" applyNumberFormat="1" applyFont="1" applyBorder="1" applyAlignment="1" applyProtection="1">
      <alignment wrapText="1"/>
      <protection locked="0"/>
    </xf>
    <xf numFmtId="166" fontId="13" fillId="4" borderId="1" xfId="14" applyNumberFormat="1" applyFont="1" applyFill="1" applyBorder="1" applyAlignment="1" applyProtection="1">
      <alignment wrapText="1"/>
      <protection locked="0"/>
    </xf>
    <xf numFmtId="165" fontId="16" fillId="3" borderId="1" xfId="1" applyNumberFormat="1" applyFont="1" applyFill="1" applyBorder="1" applyAlignment="1" applyProtection="1">
      <alignment horizontal="center" wrapText="1"/>
      <protection hidden="1"/>
    </xf>
    <xf numFmtId="0" fontId="32" fillId="0" borderId="1" xfId="1" applyFont="1" applyBorder="1" applyAlignment="1" applyProtection="1">
      <alignment horizontal="center" vertical="center" wrapText="1"/>
      <protection hidden="1"/>
    </xf>
    <xf numFmtId="0" fontId="15" fillId="2" borderId="1" xfId="1" applyFont="1" applyFill="1" applyBorder="1" applyAlignment="1" applyProtection="1">
      <alignment horizontal="center" vertical="center" wrapText="1"/>
      <protection hidden="1"/>
    </xf>
    <xf numFmtId="3" fontId="15" fillId="2" borderId="1" xfId="1" applyNumberFormat="1" applyFont="1" applyFill="1" applyBorder="1" applyAlignment="1" applyProtection="1">
      <alignment horizontal="center" vertical="center" wrapText="1"/>
      <protection hidden="1"/>
    </xf>
    <xf numFmtId="4" fontId="29" fillId="0" borderId="0" xfId="1" applyNumberFormat="1" applyFont="1" applyAlignment="1" applyProtection="1">
      <alignment wrapText="1"/>
      <protection hidden="1"/>
    </xf>
    <xf numFmtId="4" fontId="29" fillId="0" borderId="0" xfId="1" applyNumberFormat="1" applyFont="1" applyProtection="1">
      <protection hidden="1"/>
    </xf>
    <xf numFmtId="4" fontId="38" fillId="0" borderId="1" xfId="1" applyNumberFormat="1" applyFont="1" applyBorder="1" applyAlignment="1" applyProtection="1">
      <alignment horizontal="center" vertical="center" textRotation="90" wrapText="1"/>
      <protection hidden="1"/>
    </xf>
    <xf numFmtId="2" fontId="26" fillId="2" borderId="1" xfId="1" applyNumberFormat="1" applyFont="1" applyFill="1" applyBorder="1" applyAlignment="1" applyProtection="1">
      <alignment horizontal="right" vertical="center" wrapText="1"/>
      <protection hidden="1"/>
    </xf>
    <xf numFmtId="2" fontId="26" fillId="2" borderId="1" xfId="4" applyNumberFormat="1" applyFont="1" applyFill="1" applyBorder="1" applyAlignment="1" applyProtection="1">
      <alignment horizontal="right" vertical="center" wrapText="1"/>
      <protection hidden="1"/>
    </xf>
    <xf numFmtId="4" fontId="39" fillId="0" borderId="0" xfId="1" applyNumberFormat="1" applyFont="1" applyAlignment="1" applyProtection="1">
      <alignment wrapText="1"/>
      <protection hidden="1"/>
    </xf>
    <xf numFmtId="0" fontId="40" fillId="0" borderId="0" xfId="1" applyFont="1" applyAlignment="1" applyProtection="1">
      <alignment wrapText="1"/>
      <protection hidden="1"/>
    </xf>
    <xf numFmtId="0" fontId="17" fillId="0" borderId="1" xfId="1" applyFont="1" applyBorder="1" applyAlignment="1" applyProtection="1">
      <alignment vertical="center" wrapText="1"/>
      <protection hidden="1"/>
    </xf>
    <xf numFmtId="0" fontId="17" fillId="0" borderId="0" xfId="14" applyFont="1" applyAlignment="1" applyProtection="1">
      <alignment horizontal="center"/>
      <protection hidden="1"/>
    </xf>
    <xf numFmtId="0" fontId="17" fillId="0" borderId="0" xfId="1" applyFont="1" applyAlignment="1" applyProtection="1">
      <alignment horizontal="center" vertical="center"/>
      <protection hidden="1"/>
    </xf>
    <xf numFmtId="0" fontId="17" fillId="0" borderId="0" xfId="14" applyFont="1" applyAlignment="1" applyProtection="1">
      <alignment horizontal="left"/>
      <protection hidden="1"/>
    </xf>
    <xf numFmtId="0" fontId="17" fillId="0" borderId="0" xfId="1" applyFont="1" applyAlignment="1" applyProtection="1">
      <alignment horizontal="left"/>
      <protection hidden="1"/>
    </xf>
    <xf numFmtId="0" fontId="9" fillId="0" borderId="0" xfId="1" applyFont="1" applyAlignment="1" applyProtection="1">
      <alignment horizontal="left" wrapText="1"/>
      <protection hidden="1"/>
    </xf>
    <xf numFmtId="0" fontId="21" fillId="0" borderId="1" xfId="1" applyFont="1" applyBorder="1" applyAlignment="1" applyProtection="1">
      <alignment wrapText="1"/>
      <protection hidden="1"/>
    </xf>
    <xf numFmtId="0" fontId="36" fillId="0" borderId="1" xfId="1" applyFont="1" applyBorder="1" applyAlignment="1" applyProtection="1">
      <alignment wrapText="1"/>
      <protection hidden="1"/>
    </xf>
    <xf numFmtId="0" fontId="18" fillId="0" borderId="1" xfId="1" applyFont="1" applyBorder="1" applyAlignment="1" applyProtection="1">
      <alignment horizontal="center" wrapText="1"/>
      <protection hidden="1"/>
    </xf>
    <xf numFmtId="0" fontId="19" fillId="0" borderId="1" xfId="3" applyFont="1" applyFill="1" applyBorder="1" applyAlignment="1" applyProtection="1">
      <alignment horizontal="left" vertical="center" wrapText="1"/>
      <protection hidden="1"/>
    </xf>
    <xf numFmtId="0" fontId="4" fillId="5" borderId="1" xfId="3" applyFill="1" applyBorder="1" applyAlignment="1" applyProtection="1">
      <alignment wrapText="1"/>
      <protection hidden="1"/>
    </xf>
    <xf numFmtId="4" fontId="22" fillId="0" borderId="1" xfId="1" applyNumberFormat="1" applyFont="1" applyBorder="1" applyAlignment="1" applyProtection="1">
      <alignment wrapText="1"/>
      <protection hidden="1"/>
    </xf>
    <xf numFmtId="4" fontId="37" fillId="0" borderId="1" xfId="1" applyNumberFormat="1" applyFont="1" applyBorder="1" applyAlignment="1" applyProtection="1">
      <alignment wrapText="1"/>
      <protection hidden="1"/>
    </xf>
    <xf numFmtId="0" fontId="16" fillId="0" borderId="1" xfId="1" applyFont="1" applyBorder="1" applyAlignment="1" applyProtection="1">
      <alignment horizontal="center" vertical="center" wrapText="1"/>
      <protection hidden="1"/>
    </xf>
    <xf numFmtId="1" fontId="22" fillId="0" borderId="1" xfId="1" applyNumberFormat="1" applyFont="1" applyBorder="1" applyAlignment="1" applyProtection="1">
      <alignment horizontal="right" vertical="center" wrapText="1"/>
      <protection hidden="1"/>
    </xf>
    <xf numFmtId="0" fontId="9" fillId="0" borderId="1" xfId="1" applyFont="1" applyBorder="1" applyAlignment="1" applyProtection="1">
      <alignment horizontal="center" wrapText="1"/>
      <protection hidden="1"/>
    </xf>
    <xf numFmtId="0" fontId="9" fillId="0" borderId="1" xfId="1" applyFont="1" applyBorder="1" applyAlignment="1" applyProtection="1">
      <alignment wrapText="1"/>
      <protection hidden="1"/>
    </xf>
    <xf numFmtId="0" fontId="17" fillId="0" borderId="1" xfId="1" applyFont="1" applyBorder="1" applyAlignment="1" applyProtection="1">
      <alignment horizontal="right" wrapText="1"/>
      <protection locked="0" hidden="1"/>
    </xf>
    <xf numFmtId="3" fontId="34" fillId="0" borderId="1" xfId="1" applyNumberFormat="1" applyFont="1" applyBorder="1" applyAlignment="1" applyProtection="1">
      <alignment horizontal="center" wrapText="1"/>
      <protection hidden="1"/>
    </xf>
    <xf numFmtId="0" fontId="17" fillId="0" borderId="1" xfId="6" applyFont="1" applyBorder="1" applyAlignment="1" applyProtection="1">
      <alignment vertical="center" wrapText="1"/>
      <protection hidden="1"/>
    </xf>
    <xf numFmtId="0" fontId="35" fillId="0" borderId="1" xfId="6" applyFont="1" applyBorder="1" applyAlignment="1" applyProtection="1">
      <alignment horizontal="center" wrapText="1"/>
      <protection hidden="1"/>
    </xf>
    <xf numFmtId="3" fontId="2" fillId="2" borderId="1" xfId="1" applyNumberFormat="1" applyFont="1" applyFill="1" applyBorder="1" applyAlignment="1" applyProtection="1">
      <alignment vertical="center" wrapText="1"/>
      <protection hidden="1"/>
    </xf>
    <xf numFmtId="3" fontId="2" fillId="5" borderId="1" xfId="1" applyNumberFormat="1" applyFont="1" applyFill="1" applyBorder="1" applyAlignment="1" applyProtection="1">
      <alignment horizontal="right" wrapText="1"/>
      <protection hidden="1"/>
    </xf>
    <xf numFmtId="3" fontId="2" fillId="0" borderId="1" xfId="1" applyNumberFormat="1" applyFont="1" applyBorder="1" applyAlignment="1" applyProtection="1">
      <alignment horizontal="center" wrapText="1"/>
      <protection hidden="1"/>
    </xf>
    <xf numFmtId="3" fontId="2" fillId="0" borderId="1" xfId="1" applyNumberFormat="1" applyFont="1" applyBorder="1" applyAlignment="1" applyProtection="1">
      <alignment horizontal="center" vertical="center" wrapText="1"/>
      <protection hidden="1"/>
    </xf>
    <xf numFmtId="3" fontId="2" fillId="0" borderId="1" xfId="1" applyNumberFormat="1" applyFont="1" applyBorder="1" applyAlignment="1" applyProtection="1">
      <alignment vertical="center" wrapText="1"/>
      <protection hidden="1"/>
    </xf>
    <xf numFmtId="1" fontId="29" fillId="0" borderId="1" xfId="1" applyNumberFormat="1" applyFont="1" applyBorder="1" applyAlignment="1" applyProtection="1">
      <alignment horizontal="right" vertical="center" wrapText="1"/>
      <protection hidden="1"/>
    </xf>
    <xf numFmtId="0" fontId="2" fillId="2" borderId="1" xfId="1" applyFont="1" applyFill="1" applyBorder="1" applyAlignment="1" applyProtection="1">
      <alignment vertical="center" wrapText="1"/>
      <protection hidden="1"/>
    </xf>
    <xf numFmtId="0" fontId="2" fillId="0" borderId="1" xfId="1" applyFont="1" applyBorder="1" applyAlignment="1" applyProtection="1">
      <alignment horizontal="center" wrapText="1"/>
      <protection hidden="1"/>
    </xf>
    <xf numFmtId="0" fontId="2" fillId="0" borderId="1" xfId="1" applyFont="1" applyBorder="1" applyAlignment="1" applyProtection="1">
      <alignment vertical="center" wrapText="1"/>
      <protection hidden="1"/>
    </xf>
    <xf numFmtId="0" fontId="2" fillId="0" borderId="1" xfId="1" applyFont="1" applyBorder="1" applyAlignment="1" applyProtection="1">
      <alignment vertical="center" wrapText="1"/>
      <protection locked="0" hidden="1"/>
    </xf>
    <xf numFmtId="0" fontId="16" fillId="2" borderId="1" xfId="1" applyFont="1" applyFill="1" applyBorder="1" applyAlignment="1" applyProtection="1">
      <alignment horizontal="center" wrapText="1"/>
      <protection hidden="1"/>
    </xf>
    <xf numFmtId="0" fontId="2" fillId="5" borderId="1" xfId="1" applyFont="1" applyFill="1" applyBorder="1" applyAlignment="1" applyProtection="1">
      <alignment horizontal="right" vertical="center" wrapText="1"/>
      <protection locked="0" hidden="1"/>
    </xf>
    <xf numFmtId="0" fontId="17" fillId="0" borderId="1" xfId="2" applyFont="1" applyBorder="1" applyAlignment="1" applyProtection="1">
      <alignment vertical="center" wrapText="1"/>
      <protection hidden="1"/>
    </xf>
    <xf numFmtId="0" fontId="17" fillId="0" borderId="1" xfId="2" applyFont="1" applyBorder="1" applyAlignment="1" applyProtection="1">
      <alignment horizontal="center" vertical="center" wrapText="1"/>
      <protection hidden="1"/>
    </xf>
    <xf numFmtId="0" fontId="17" fillId="0" borderId="1" xfId="1" applyFont="1" applyBorder="1" applyAlignment="1" applyProtection="1">
      <alignment vertical="center" wrapText="1"/>
      <protection locked="0" hidden="1"/>
    </xf>
    <xf numFmtId="0" fontId="17" fillId="0" borderId="1" xfId="1" applyFont="1" applyBorder="1" applyAlignment="1" applyProtection="1">
      <alignment horizontal="left" vertical="center" wrapText="1"/>
      <protection hidden="1"/>
    </xf>
    <xf numFmtId="0" fontId="9" fillId="0" borderId="1" xfId="1" applyFont="1" applyBorder="1" applyAlignment="1" applyProtection="1">
      <alignment horizontal="right" wrapText="1"/>
      <protection hidden="1"/>
    </xf>
    <xf numFmtId="3" fontId="2" fillId="5" borderId="1" xfId="1" applyNumberFormat="1" applyFont="1" applyFill="1" applyBorder="1" applyAlignment="1" applyProtection="1">
      <alignment horizontal="right" vertical="center" wrapText="1"/>
      <protection hidden="1"/>
    </xf>
    <xf numFmtId="0" fontId="2" fillId="0" borderId="1" xfId="1" applyFont="1" applyBorder="1" applyAlignment="1" applyProtection="1">
      <alignment horizontal="right" vertical="center" wrapText="1"/>
      <protection hidden="1"/>
    </xf>
    <xf numFmtId="0" fontId="2" fillId="0" borderId="1" xfId="1" applyFont="1" applyBorder="1" applyAlignment="1" applyProtection="1">
      <alignment horizontal="right" wrapText="1"/>
      <protection locked="0" hidden="1"/>
    </xf>
    <xf numFmtId="0" fontId="2" fillId="0" borderId="1" xfId="1" applyFont="1" applyBorder="1" applyAlignment="1" applyProtection="1">
      <alignment wrapText="1"/>
      <protection locked="0" hidden="1"/>
    </xf>
    <xf numFmtId="0" fontId="9" fillId="0" borderId="1" xfId="1" applyFont="1" applyBorder="1" applyAlignment="1" applyProtection="1">
      <alignment horizontal="right" vertical="center" wrapText="1"/>
      <protection hidden="1"/>
    </xf>
    <xf numFmtId="3" fontId="2" fillId="0" borderId="1" xfId="1" applyNumberFormat="1" applyFont="1" applyBorder="1" applyAlignment="1" applyProtection="1">
      <alignment horizontal="right" vertical="center" wrapText="1"/>
      <protection hidden="1"/>
    </xf>
    <xf numFmtId="0" fontId="33" fillId="0" borderId="1" xfId="0" applyFont="1" applyBorder="1" applyAlignment="1">
      <alignment horizontal="center" vertical="top"/>
    </xf>
    <xf numFmtId="0" fontId="17" fillId="0" borderId="1" xfId="6" applyFont="1" applyBorder="1" applyAlignment="1" applyProtection="1">
      <alignment horizontal="left" vertical="center" wrapText="1"/>
      <protection hidden="1"/>
    </xf>
    <xf numFmtId="0" fontId="31" fillId="2" borderId="1" xfId="1" applyFont="1" applyFill="1" applyBorder="1" applyAlignment="1" applyProtection="1">
      <alignment horizontal="center" vertical="center" wrapText="1"/>
      <protection hidden="1"/>
    </xf>
    <xf numFmtId="166" fontId="26" fillId="2" borderId="1" xfId="1" applyNumberFormat="1" applyFont="1" applyFill="1" applyBorder="1" applyAlignment="1" applyProtection="1">
      <alignment horizontal="right" vertical="center" wrapText="1"/>
      <protection hidden="1"/>
    </xf>
    <xf numFmtId="0" fontId="17" fillId="0" borderId="1" xfId="14" applyFont="1" applyBorder="1" applyAlignment="1" applyProtection="1">
      <alignment horizontal="center" wrapText="1"/>
      <protection hidden="1"/>
    </xf>
    <xf numFmtId="0" fontId="17" fillId="0" borderId="1" xfId="14" applyFont="1" applyBorder="1" applyAlignment="1" applyProtection="1">
      <alignment wrapText="1"/>
      <protection hidden="1"/>
    </xf>
    <xf numFmtId="2" fontId="26" fillId="0" borderId="1" xfId="14" applyNumberFormat="1" applyFont="1" applyBorder="1" applyAlignment="1" applyProtection="1">
      <alignment horizontal="right" vertical="center" wrapText="1"/>
      <protection hidden="1"/>
    </xf>
    <xf numFmtId="0" fontId="9" fillId="0" borderId="0" xfId="14" applyFont="1" applyAlignment="1" applyProtection="1">
      <alignment wrapText="1"/>
      <protection hidden="1"/>
    </xf>
    <xf numFmtId="0" fontId="9" fillId="0" borderId="0" xfId="14" applyFont="1" applyAlignment="1" applyProtection="1">
      <alignment horizontal="right" wrapText="1"/>
      <protection hidden="1"/>
    </xf>
    <xf numFmtId="4" fontId="23" fillId="0" borderId="0" xfId="14" applyNumberFormat="1" applyFont="1" applyAlignment="1" applyProtection="1">
      <alignment horizontal="right" wrapText="1"/>
      <protection hidden="1"/>
    </xf>
    <xf numFmtId="0" fontId="17" fillId="5" borderId="1" xfId="14" applyFont="1" applyFill="1" applyBorder="1" applyAlignment="1" applyProtection="1">
      <alignment wrapText="1"/>
      <protection locked="0" hidden="1"/>
    </xf>
    <xf numFmtId="0" fontId="17" fillId="0" borderId="1" xfId="0" applyFont="1" applyBorder="1" applyAlignment="1">
      <alignment wrapText="1"/>
    </xf>
    <xf numFmtId="0" fontId="17" fillId="0" borderId="1" xfId="1" applyFont="1" applyBorder="1" applyAlignment="1" applyProtection="1">
      <alignment horizontal="right" vertical="center" wrapText="1"/>
      <protection hidden="1"/>
    </xf>
    <xf numFmtId="0" fontId="16" fillId="5" borderId="1" xfId="1" applyFont="1" applyFill="1" applyBorder="1" applyAlignment="1" applyProtection="1">
      <alignment wrapText="1"/>
      <protection locked="0" hidden="1"/>
    </xf>
    <xf numFmtId="0" fontId="17" fillId="0" borderId="1" xfId="1" applyFont="1" applyBorder="1" applyAlignment="1" applyProtection="1">
      <alignment horizontal="left" vertical="top" wrapText="1"/>
      <protection hidden="1"/>
    </xf>
    <xf numFmtId="1" fontId="41" fillId="0" borderId="1" xfId="0" applyNumberFormat="1" applyFont="1" applyBorder="1" applyAlignment="1">
      <alignment horizontal="right" vertical="center" wrapText="1"/>
    </xf>
    <xf numFmtId="0" fontId="16" fillId="0" borderId="0" xfId="1" applyFont="1" applyProtection="1">
      <protection hidden="1"/>
    </xf>
    <xf numFmtId="1" fontId="42" fillId="0" borderId="1" xfId="0" applyNumberFormat="1" applyFont="1" applyBorder="1" applyAlignment="1">
      <alignment horizontal="right" vertical="center"/>
    </xf>
    <xf numFmtId="1" fontId="41" fillId="0" borderId="1" xfId="0" applyNumberFormat="1" applyFont="1" applyBorder="1" applyAlignment="1">
      <alignment horizontal="right" vertical="center"/>
    </xf>
    <xf numFmtId="4" fontId="18" fillId="0" borderId="0" xfId="1" applyNumberFormat="1" applyFont="1" applyAlignment="1" applyProtection="1">
      <alignment wrapText="1"/>
      <protection hidden="1"/>
    </xf>
    <xf numFmtId="0" fontId="43" fillId="0" borderId="0" xfId="1" applyFont="1" applyAlignment="1" applyProtection="1">
      <alignment wrapText="1"/>
      <protection hidden="1"/>
    </xf>
    <xf numFmtId="1" fontId="41" fillId="0" borderId="1" xfId="1" applyNumberFormat="1" applyFont="1" applyBorder="1" applyAlignment="1" applyProtection="1">
      <alignment horizontal="right" vertical="center" wrapText="1"/>
      <protection hidden="1"/>
    </xf>
    <xf numFmtId="0" fontId="2" fillId="0" borderId="1" xfId="1" applyFont="1" applyBorder="1" applyAlignment="1" applyProtection="1">
      <alignment horizontal="right" wrapText="1"/>
      <protection hidden="1"/>
    </xf>
    <xf numFmtId="0" fontId="2" fillId="5" borderId="1" xfId="1" applyFont="1" applyFill="1" applyBorder="1" applyAlignment="1" applyProtection="1">
      <alignment horizontal="right" vertical="center" wrapText="1"/>
      <protection hidden="1"/>
    </xf>
    <xf numFmtId="1" fontId="44" fillId="0" borderId="1" xfId="0" applyNumberFormat="1" applyFont="1" applyBorder="1" applyAlignment="1">
      <alignment horizontal="right" vertical="center"/>
    </xf>
    <xf numFmtId="3" fontId="17" fillId="0" borderId="1" xfId="1" applyNumberFormat="1" applyFont="1" applyBorder="1" applyAlignment="1" applyProtection="1">
      <alignment horizontal="center" wrapText="1"/>
      <protection hidden="1"/>
    </xf>
    <xf numFmtId="3" fontId="17" fillId="0" borderId="1" xfId="1" applyNumberFormat="1" applyFont="1" applyBorder="1" applyAlignment="1" applyProtection="1">
      <alignment horizontal="center" vertical="center" wrapText="1"/>
      <protection hidden="1"/>
    </xf>
    <xf numFmtId="0" fontId="6" fillId="0" borderId="1" xfId="14" applyFont="1" applyBorder="1" applyAlignment="1" applyProtection="1">
      <alignment wrapText="1"/>
      <protection hidden="1"/>
    </xf>
    <xf numFmtId="0" fontId="6" fillId="0" borderId="1" xfId="1" applyFont="1" applyBorder="1" applyAlignment="1" applyProtection="1">
      <alignment wrapText="1"/>
      <protection hidden="1"/>
    </xf>
    <xf numFmtId="0" fontId="15" fillId="0" borderId="1" xfId="1" applyFont="1" applyBorder="1" applyAlignment="1" applyProtection="1">
      <alignment horizontal="left" wrapText="1"/>
      <protection hidden="1"/>
    </xf>
    <xf numFmtId="0" fontId="18" fillId="0" borderId="1" xfId="1" applyFont="1" applyBorder="1" applyAlignment="1" applyProtection="1">
      <alignment horizontal="center" wrapText="1"/>
      <protection hidden="1"/>
    </xf>
    <xf numFmtId="0" fontId="5" fillId="0" borderId="1" xfId="14" applyFont="1" applyBorder="1" applyAlignment="1" applyProtection="1">
      <alignment horizontal="center" vertical="center" wrapText="1"/>
      <protection locked="0"/>
    </xf>
    <xf numFmtId="0" fontId="5" fillId="0" borderId="2" xfId="1" applyFont="1" applyBorder="1" applyAlignment="1" applyProtection="1">
      <alignment horizontal="center" vertical="center" wrapText="1"/>
      <protection locked="0"/>
    </xf>
    <xf numFmtId="0" fontId="5" fillId="0" borderId="3" xfId="1" applyFont="1" applyBorder="1" applyAlignment="1" applyProtection="1">
      <alignment horizontal="center" vertical="center" wrapText="1"/>
      <protection locked="0"/>
    </xf>
    <xf numFmtId="0" fontId="5" fillId="0" borderId="4" xfId="1" applyFont="1" applyBorder="1" applyAlignment="1" applyProtection="1">
      <alignment horizontal="center" vertical="center" wrapText="1"/>
      <protection locked="0"/>
    </xf>
  </cellXfs>
  <cellStyles count="15">
    <cellStyle name="Legal 8½ x 14 in" xfId="1" xr:uid="{00000000-0005-0000-0000-000000000000}"/>
    <cellStyle name="Legal 8½ x 14 in 2" xfId="14" xr:uid="{00000000-0005-0000-0000-000001000000}"/>
    <cellStyle name="Legal 8½ x 14 in_Прайс-заказ лист.xls 11" xfId="2" xr:uid="{00000000-0005-0000-0000-000002000000}"/>
    <cellStyle name="Гиперссылка" xfId="3" builtinId="8"/>
    <cellStyle name="Обычный" xfId="0" builtinId="0"/>
    <cellStyle name="Обычный 2" xfId="4" xr:uid="{00000000-0005-0000-0000-000005000000}"/>
    <cellStyle name="Обычный 2 2" xfId="5" xr:uid="{00000000-0005-0000-0000-000006000000}"/>
    <cellStyle name="Обычный 2 2 2_склад_06_12_склад_10_12" xfId="6" xr:uid="{00000000-0005-0000-0000-000007000000}"/>
    <cellStyle name="Обычный 2 2_Книга1" xfId="7" xr:uid="{00000000-0005-0000-0000-000008000000}"/>
    <cellStyle name="Обычный 2 3_склад_06_12" xfId="8" xr:uid="{00000000-0005-0000-0000-000009000000}"/>
    <cellStyle name="Обычный 2 3_склад_07_12" xfId="9" xr:uid="{00000000-0005-0000-0000-00000A000000}"/>
    <cellStyle name="Обычный 2 3_склад_10_12" xfId="10" xr:uid="{00000000-0005-0000-0000-00000B000000}"/>
    <cellStyle name="Обычный 3" xfId="13" xr:uid="{00000000-0005-0000-0000-00000C000000}"/>
    <cellStyle name="Обычный_58F8A000 2" xfId="11" xr:uid="{00000000-0005-0000-0000-00000D000000}"/>
    <cellStyle name="Обычный_58F8A000_июнь" xfId="12" xr:uid="{00000000-0005-0000-0000-00000E000000}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@eclair.uz" TargetMode="External"/><Relationship Id="rId1" Type="http://schemas.openxmlformats.org/officeDocument/2006/relationships/hyperlink" Target="http://www.eclair.u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U357"/>
  <sheetViews>
    <sheetView tabSelected="1" view="pageBreakPreview" topLeftCell="A224" zoomScale="50" zoomScaleNormal="55" zoomScaleSheetLayoutView="50" workbookViewId="0">
      <selection activeCell="E344" sqref="E344"/>
    </sheetView>
  </sheetViews>
  <sheetFormatPr defaultColWidth="9.109375" defaultRowHeight="10.8" x14ac:dyDescent="0.25"/>
  <cols>
    <col min="1" max="1" width="3.44140625" style="9" customWidth="1"/>
    <col min="2" max="2" width="79.88671875" style="10" customWidth="1"/>
    <col min="3" max="3" width="7.33203125" style="9" customWidth="1"/>
    <col min="4" max="4" width="8.44140625" style="10" customWidth="1"/>
    <col min="5" max="5" width="8" style="10" customWidth="1"/>
    <col min="6" max="6" width="17.5546875" style="47" customWidth="1"/>
    <col min="7" max="7" width="6.44140625" style="141" customWidth="1"/>
    <col min="8" max="8" width="9.88671875" style="15" bestFit="1" customWidth="1"/>
    <col min="9" max="9" width="18.88671875" style="9" customWidth="1"/>
    <col min="10" max="10" width="74.44140625" style="10" customWidth="1"/>
    <col min="11" max="11" width="13.109375" style="10" customWidth="1"/>
    <col min="12" max="13" width="13.5546875" style="12" customWidth="1"/>
    <col min="14" max="14" width="20.88671875" style="48" customWidth="1"/>
    <col min="15" max="16384" width="9.109375" style="10"/>
  </cols>
  <sheetData>
    <row r="1" spans="1:15" s="11" customFormat="1" ht="16.2" customHeight="1" x14ac:dyDescent="0.35">
      <c r="A1" s="216"/>
      <c r="B1" s="216"/>
      <c r="C1" s="19"/>
      <c r="D1" s="19"/>
      <c r="E1" s="19"/>
      <c r="F1" s="149"/>
      <c r="G1" s="150"/>
      <c r="H1" s="98"/>
      <c r="I1" s="98" t="s">
        <v>211</v>
      </c>
      <c r="J1" s="98"/>
      <c r="K1" s="98"/>
      <c r="L1" s="98"/>
      <c r="M1" s="98"/>
      <c r="N1" s="98"/>
      <c r="O1" s="98"/>
    </row>
    <row r="2" spans="1:15" s="7" customFormat="1" ht="28.2" customHeight="1" x14ac:dyDescent="0.3">
      <c r="A2" s="151"/>
      <c r="B2" s="152" t="s">
        <v>15</v>
      </c>
      <c r="C2" s="217" t="s">
        <v>14</v>
      </c>
      <c r="D2" s="217"/>
      <c r="E2" s="153" t="s">
        <v>17</v>
      </c>
      <c r="F2" s="154"/>
      <c r="G2" s="155"/>
      <c r="H2" s="99" t="s">
        <v>185</v>
      </c>
      <c r="I2" s="98" t="s">
        <v>211</v>
      </c>
      <c r="J2" s="98"/>
      <c r="K2" s="98"/>
      <c r="L2" s="98"/>
      <c r="M2" s="98"/>
      <c r="N2" s="98"/>
      <c r="O2" s="98"/>
    </row>
    <row r="3" spans="1:15" s="7" customFormat="1" ht="130.80000000000001" customHeight="1" x14ac:dyDescent="0.3">
      <c r="A3" s="45"/>
      <c r="B3" s="46" t="s">
        <v>75</v>
      </c>
      <c r="C3" s="129" t="s">
        <v>77</v>
      </c>
      <c r="D3" s="129" t="s">
        <v>78</v>
      </c>
      <c r="E3" s="129" t="s">
        <v>213</v>
      </c>
      <c r="F3" s="118" t="s">
        <v>74</v>
      </c>
      <c r="G3" s="138" t="s">
        <v>212</v>
      </c>
      <c r="H3" s="99"/>
      <c r="I3" s="145" t="s">
        <v>214</v>
      </c>
      <c r="J3" s="203"/>
      <c r="K3" s="98"/>
      <c r="L3" s="98"/>
      <c r="M3" s="98"/>
      <c r="N3" s="98"/>
      <c r="O3" s="98"/>
    </row>
    <row r="4" spans="1:15" s="7" customFormat="1" ht="35.25" customHeight="1" x14ac:dyDescent="0.3">
      <c r="A4" s="45"/>
      <c r="B4" s="133" t="s">
        <v>195</v>
      </c>
      <c r="C4" s="129"/>
      <c r="D4" s="129"/>
      <c r="E4" s="129"/>
      <c r="F4" s="118"/>
      <c r="G4" s="138"/>
      <c r="H4" s="99"/>
      <c r="I4" s="98" t="s">
        <v>211</v>
      </c>
      <c r="J4" s="98"/>
      <c r="K4" s="98"/>
      <c r="L4" s="98"/>
      <c r="M4" s="98"/>
      <c r="N4" s="98"/>
      <c r="O4" s="98"/>
    </row>
    <row r="5" spans="1:15" ht="48.6" x14ac:dyDescent="0.3">
      <c r="A5" s="104" t="s">
        <v>76</v>
      </c>
      <c r="B5" s="103" t="s">
        <v>18</v>
      </c>
      <c r="C5" s="113"/>
      <c r="D5" s="113">
        <f>SUM(D6:D45)</f>
        <v>0</v>
      </c>
      <c r="E5" s="113">
        <f>SUM(E6:E45)</f>
        <v>0</v>
      </c>
      <c r="F5" s="109"/>
      <c r="G5" s="108">
        <v>0.66</v>
      </c>
      <c r="H5" s="137">
        <f>G5*D5</f>
        <v>0</v>
      </c>
      <c r="I5" s="98" t="s">
        <v>211</v>
      </c>
      <c r="J5" s="98"/>
      <c r="K5" s="98"/>
      <c r="L5" s="100"/>
      <c r="M5" s="100"/>
      <c r="N5" s="101"/>
      <c r="O5" s="98"/>
    </row>
    <row r="6" spans="1:15" ht="31.2" x14ac:dyDescent="0.3">
      <c r="A6" s="8">
        <v>1</v>
      </c>
      <c r="B6" s="54" t="s">
        <v>318</v>
      </c>
      <c r="C6" s="1">
        <v>24</v>
      </c>
      <c r="D6" s="18">
        <f>+C6*E6</f>
        <v>0</v>
      </c>
      <c r="E6" s="53"/>
      <c r="F6" s="202">
        <v>4780023323602</v>
      </c>
      <c r="G6" s="110"/>
      <c r="H6" s="137"/>
      <c r="I6" s="144">
        <v>3305900009</v>
      </c>
      <c r="J6" s="98"/>
      <c r="K6" s="98"/>
      <c r="L6" s="100"/>
      <c r="M6" s="100"/>
      <c r="N6" s="101"/>
      <c r="O6" s="98"/>
    </row>
    <row r="7" spans="1:15" ht="31.2" x14ac:dyDescent="0.3">
      <c r="A7" s="8">
        <v>2</v>
      </c>
      <c r="B7" s="8" t="s">
        <v>81</v>
      </c>
      <c r="C7" s="1">
        <v>24</v>
      </c>
      <c r="D7" s="18">
        <f t="shared" ref="D7:D45" si="0">+C7*E7</f>
        <v>0</v>
      </c>
      <c r="E7" s="53"/>
      <c r="F7" s="202">
        <v>4780023323565</v>
      </c>
      <c r="G7" s="110"/>
      <c r="H7" s="137"/>
      <c r="I7" s="144">
        <v>3305900009</v>
      </c>
      <c r="J7" s="98"/>
      <c r="K7" s="98"/>
      <c r="L7" s="100"/>
      <c r="M7" s="100"/>
      <c r="N7" s="101"/>
      <c r="O7" s="98"/>
    </row>
    <row r="8" spans="1:15" ht="31.2" x14ac:dyDescent="0.3">
      <c r="A8" s="8">
        <v>3</v>
      </c>
      <c r="B8" s="8" t="s">
        <v>82</v>
      </c>
      <c r="C8" s="1">
        <v>24</v>
      </c>
      <c r="D8" s="18">
        <f t="shared" si="0"/>
        <v>0</v>
      </c>
      <c r="E8" s="53"/>
      <c r="F8" s="202">
        <v>4780023323541</v>
      </c>
      <c r="G8" s="110"/>
      <c r="H8" s="137"/>
      <c r="I8" s="144">
        <v>3305900009</v>
      </c>
      <c r="J8" s="98"/>
      <c r="K8" s="98"/>
      <c r="L8" s="100"/>
      <c r="M8" s="100"/>
      <c r="N8" s="101"/>
      <c r="O8" s="98"/>
    </row>
    <row r="9" spans="1:15" ht="31.2" x14ac:dyDescent="0.3">
      <c r="A9" s="8">
        <v>4</v>
      </c>
      <c r="B9" s="8" t="s">
        <v>83</v>
      </c>
      <c r="C9" s="1">
        <v>24</v>
      </c>
      <c r="D9" s="18">
        <f t="shared" si="0"/>
        <v>0</v>
      </c>
      <c r="E9" s="53"/>
      <c r="F9" s="202">
        <v>4780023323572</v>
      </c>
      <c r="G9" s="110"/>
      <c r="H9" s="137"/>
      <c r="I9" s="144">
        <v>3305900009</v>
      </c>
      <c r="J9" s="98"/>
      <c r="K9" s="98"/>
      <c r="L9" s="100"/>
      <c r="M9" s="100"/>
      <c r="N9" s="101"/>
      <c r="O9" s="98"/>
    </row>
    <row r="10" spans="1:15" ht="31.2" x14ac:dyDescent="0.3">
      <c r="A10" s="8">
        <v>5</v>
      </c>
      <c r="B10" s="8" t="s">
        <v>319</v>
      </c>
      <c r="C10" s="1">
        <v>24</v>
      </c>
      <c r="D10" s="18">
        <f t="shared" si="0"/>
        <v>0</v>
      </c>
      <c r="E10" s="53"/>
      <c r="F10" s="202">
        <v>4780023323459</v>
      </c>
      <c r="G10" s="110"/>
      <c r="H10" s="137"/>
      <c r="I10" s="144">
        <v>3305900009</v>
      </c>
      <c r="J10" s="98"/>
      <c r="K10" s="98"/>
      <c r="L10" s="100"/>
      <c r="M10" s="100"/>
      <c r="N10" s="101"/>
      <c r="O10" s="98"/>
    </row>
    <row r="11" spans="1:15" ht="31.2" x14ac:dyDescent="0.3">
      <c r="A11" s="8">
        <v>6</v>
      </c>
      <c r="B11" s="8" t="s">
        <v>215</v>
      </c>
      <c r="C11" s="1">
        <v>24</v>
      </c>
      <c r="D11" s="18">
        <f t="shared" si="0"/>
        <v>0</v>
      </c>
      <c r="E11" s="53"/>
      <c r="F11" s="202">
        <v>4780023323626</v>
      </c>
      <c r="G11" s="110"/>
      <c r="H11" s="137"/>
      <c r="I11" s="144">
        <v>3305900009</v>
      </c>
      <c r="J11" s="98"/>
      <c r="K11" s="98"/>
      <c r="L11" s="100"/>
      <c r="M11" s="100"/>
      <c r="N11" s="101"/>
      <c r="O11" s="98"/>
    </row>
    <row r="12" spans="1:15" ht="31.2" x14ac:dyDescent="0.3">
      <c r="A12" s="8">
        <v>7</v>
      </c>
      <c r="B12" s="8" t="s">
        <v>84</v>
      </c>
      <c r="C12" s="1">
        <v>24</v>
      </c>
      <c r="D12" s="18">
        <f t="shared" si="0"/>
        <v>0</v>
      </c>
      <c r="E12" s="53"/>
      <c r="F12" s="202">
        <v>4780023323510</v>
      </c>
      <c r="G12" s="110"/>
      <c r="H12" s="137"/>
      <c r="I12" s="144">
        <v>3305900009</v>
      </c>
      <c r="J12" s="98"/>
      <c r="K12" s="98"/>
      <c r="L12" s="100"/>
      <c r="M12" s="100"/>
      <c r="N12" s="101"/>
      <c r="O12" s="98"/>
    </row>
    <row r="13" spans="1:15" ht="31.2" x14ac:dyDescent="0.3">
      <c r="A13" s="8">
        <v>8</v>
      </c>
      <c r="B13" s="8" t="s">
        <v>85</v>
      </c>
      <c r="C13" s="1">
        <v>24</v>
      </c>
      <c r="D13" s="18">
        <f t="shared" si="0"/>
        <v>0</v>
      </c>
      <c r="E13" s="53"/>
      <c r="F13" s="202">
        <v>4780023323466</v>
      </c>
      <c r="G13" s="110"/>
      <c r="H13" s="137"/>
      <c r="I13" s="144">
        <v>3305900009</v>
      </c>
      <c r="J13" s="98"/>
      <c r="K13" s="98"/>
      <c r="L13" s="100"/>
      <c r="M13" s="100"/>
      <c r="N13" s="101"/>
      <c r="O13" s="98"/>
    </row>
    <row r="14" spans="1:15" ht="31.2" x14ac:dyDescent="0.3">
      <c r="A14" s="8">
        <v>9</v>
      </c>
      <c r="B14" s="8" t="s">
        <v>86</v>
      </c>
      <c r="C14" s="1">
        <v>24</v>
      </c>
      <c r="D14" s="18">
        <f t="shared" si="0"/>
        <v>0</v>
      </c>
      <c r="E14" s="53"/>
      <c r="F14" s="202">
        <v>4780023323589</v>
      </c>
      <c r="G14" s="110"/>
      <c r="H14" s="137"/>
      <c r="I14" s="144">
        <v>3305900009</v>
      </c>
      <c r="J14" s="98"/>
      <c r="K14" s="98"/>
      <c r="L14" s="100"/>
      <c r="M14" s="100"/>
      <c r="N14" s="101"/>
      <c r="O14" s="98"/>
    </row>
    <row r="15" spans="1:15" ht="31.2" x14ac:dyDescent="0.3">
      <c r="A15" s="8">
        <v>10</v>
      </c>
      <c r="B15" s="8" t="s">
        <v>87</v>
      </c>
      <c r="C15" s="1">
        <v>24</v>
      </c>
      <c r="D15" s="18">
        <f t="shared" si="0"/>
        <v>0</v>
      </c>
      <c r="E15" s="53"/>
      <c r="F15" s="202">
        <v>4780023323534</v>
      </c>
      <c r="G15" s="110"/>
      <c r="H15" s="137"/>
      <c r="I15" s="144">
        <v>3305900009</v>
      </c>
      <c r="J15" s="98"/>
      <c r="K15" s="98"/>
      <c r="L15" s="100"/>
      <c r="M15" s="100"/>
      <c r="N15" s="101"/>
      <c r="O15" s="98"/>
    </row>
    <row r="16" spans="1:15" ht="31.2" x14ac:dyDescent="0.3">
      <c r="A16" s="8">
        <v>11</v>
      </c>
      <c r="B16" s="8" t="s">
        <v>19</v>
      </c>
      <c r="C16" s="1">
        <v>24</v>
      </c>
      <c r="D16" s="18">
        <f t="shared" si="0"/>
        <v>0</v>
      </c>
      <c r="E16" s="53"/>
      <c r="F16" s="202">
        <v>4780023323497</v>
      </c>
      <c r="G16" s="110"/>
      <c r="H16" s="137"/>
      <c r="I16" s="144">
        <v>3305900009</v>
      </c>
      <c r="J16" s="98"/>
      <c r="K16" s="98"/>
      <c r="L16" s="100"/>
      <c r="M16" s="100"/>
      <c r="N16" s="101"/>
      <c r="O16" s="98"/>
    </row>
    <row r="17" spans="1:15" ht="31.2" x14ac:dyDescent="0.3">
      <c r="A17" s="8">
        <v>12</v>
      </c>
      <c r="B17" s="8" t="s">
        <v>88</v>
      </c>
      <c r="C17" s="1">
        <v>24</v>
      </c>
      <c r="D17" s="18">
        <f t="shared" si="0"/>
        <v>0</v>
      </c>
      <c r="E17" s="53"/>
      <c r="F17" s="202">
        <v>4780023323527</v>
      </c>
      <c r="G17" s="110"/>
      <c r="H17" s="137"/>
      <c r="I17" s="144">
        <v>3305900009</v>
      </c>
      <c r="J17" s="98"/>
      <c r="K17" s="98"/>
      <c r="L17" s="100"/>
      <c r="M17" s="100"/>
      <c r="N17" s="101"/>
      <c r="O17" s="98"/>
    </row>
    <row r="18" spans="1:15" ht="31.2" x14ac:dyDescent="0.3">
      <c r="A18" s="8">
        <v>13</v>
      </c>
      <c r="B18" s="8" t="s">
        <v>89</v>
      </c>
      <c r="C18" s="1">
        <v>24</v>
      </c>
      <c r="D18" s="18">
        <f t="shared" si="0"/>
        <v>0</v>
      </c>
      <c r="E18" s="53"/>
      <c r="F18" s="202">
        <v>4780023323435</v>
      </c>
      <c r="G18" s="110"/>
      <c r="H18" s="137"/>
      <c r="I18" s="144">
        <v>3305900009</v>
      </c>
      <c r="J18" s="98"/>
      <c r="K18" s="98"/>
      <c r="L18" s="100"/>
      <c r="M18" s="100"/>
      <c r="N18" s="101"/>
      <c r="O18" s="98"/>
    </row>
    <row r="19" spans="1:15" ht="31.2" x14ac:dyDescent="0.3">
      <c r="A19" s="8">
        <v>14</v>
      </c>
      <c r="B19" s="8" t="s">
        <v>90</v>
      </c>
      <c r="C19" s="1">
        <v>24</v>
      </c>
      <c r="D19" s="18">
        <f t="shared" si="0"/>
        <v>0</v>
      </c>
      <c r="E19" s="53"/>
      <c r="F19" s="202">
        <v>4780023323442</v>
      </c>
      <c r="G19" s="110"/>
      <c r="H19" s="137"/>
      <c r="I19" s="144">
        <v>3305900009</v>
      </c>
      <c r="J19" s="98"/>
      <c r="K19" s="98"/>
      <c r="L19" s="100"/>
      <c r="M19" s="100"/>
      <c r="N19" s="101"/>
      <c r="O19" s="98"/>
    </row>
    <row r="20" spans="1:15" ht="31.2" x14ac:dyDescent="0.3">
      <c r="A20" s="8">
        <v>15</v>
      </c>
      <c r="B20" s="8" t="s">
        <v>91</v>
      </c>
      <c r="C20" s="1">
        <v>24</v>
      </c>
      <c r="D20" s="18">
        <f t="shared" si="0"/>
        <v>0</v>
      </c>
      <c r="E20" s="53"/>
      <c r="F20" s="202">
        <v>4780023323596</v>
      </c>
      <c r="G20" s="110"/>
      <c r="H20" s="137"/>
      <c r="I20" s="144">
        <v>3305900009</v>
      </c>
      <c r="J20" s="98"/>
      <c r="K20" s="98"/>
      <c r="L20" s="100"/>
      <c r="M20" s="100"/>
      <c r="N20" s="101"/>
      <c r="O20" s="98"/>
    </row>
    <row r="21" spans="1:15" ht="31.2" x14ac:dyDescent="0.3">
      <c r="A21" s="8">
        <v>16</v>
      </c>
      <c r="B21" s="8" t="s">
        <v>92</v>
      </c>
      <c r="C21" s="1">
        <v>24</v>
      </c>
      <c r="D21" s="18">
        <f t="shared" si="0"/>
        <v>0</v>
      </c>
      <c r="E21" s="53"/>
      <c r="F21" s="202">
        <v>4780023323473</v>
      </c>
      <c r="G21" s="110"/>
      <c r="H21" s="137"/>
      <c r="I21" s="144">
        <v>3305900009</v>
      </c>
      <c r="J21" s="98"/>
      <c r="K21" s="98"/>
      <c r="L21" s="100"/>
      <c r="M21" s="100"/>
      <c r="N21" s="101"/>
      <c r="O21" s="98"/>
    </row>
    <row r="22" spans="1:15" ht="31.2" x14ac:dyDescent="0.3">
      <c r="A22" s="8">
        <v>17</v>
      </c>
      <c r="B22" s="8" t="s">
        <v>93</v>
      </c>
      <c r="C22" s="1">
        <v>24</v>
      </c>
      <c r="D22" s="18">
        <f t="shared" si="0"/>
        <v>0</v>
      </c>
      <c r="E22" s="53"/>
      <c r="F22" s="202">
        <v>4780023323633</v>
      </c>
      <c r="G22" s="110"/>
      <c r="H22" s="137"/>
      <c r="I22" s="144">
        <v>3305900009</v>
      </c>
      <c r="J22" s="98"/>
      <c r="K22" s="98"/>
      <c r="L22" s="100"/>
      <c r="M22" s="100"/>
      <c r="N22" s="101"/>
      <c r="O22" s="98"/>
    </row>
    <row r="23" spans="1:15" ht="31.2" x14ac:dyDescent="0.3">
      <c r="A23" s="8">
        <v>18</v>
      </c>
      <c r="B23" s="8" t="s">
        <v>94</v>
      </c>
      <c r="C23" s="1">
        <v>24</v>
      </c>
      <c r="D23" s="18">
        <f t="shared" si="0"/>
        <v>0</v>
      </c>
      <c r="E23" s="53"/>
      <c r="F23" s="202">
        <v>4780023323619</v>
      </c>
      <c r="G23" s="110"/>
      <c r="H23" s="137"/>
      <c r="I23" s="144">
        <v>3305900009</v>
      </c>
      <c r="J23" s="98"/>
      <c r="K23" s="98"/>
      <c r="L23" s="100"/>
      <c r="M23" s="100"/>
      <c r="N23" s="101"/>
      <c r="O23" s="98"/>
    </row>
    <row r="24" spans="1:15" ht="31.2" x14ac:dyDescent="0.3">
      <c r="A24" s="8">
        <v>19</v>
      </c>
      <c r="B24" s="8" t="s">
        <v>95</v>
      </c>
      <c r="C24" s="1">
        <v>24</v>
      </c>
      <c r="D24" s="18">
        <f t="shared" si="0"/>
        <v>0</v>
      </c>
      <c r="E24" s="53"/>
      <c r="F24" s="202">
        <v>4780023323558</v>
      </c>
      <c r="G24" s="110"/>
      <c r="H24" s="137"/>
      <c r="I24" s="144">
        <v>3305900009</v>
      </c>
      <c r="J24" s="98"/>
      <c r="K24" s="98"/>
      <c r="L24" s="100"/>
      <c r="M24" s="100"/>
      <c r="N24" s="101"/>
      <c r="O24" s="98"/>
    </row>
    <row r="25" spans="1:15" ht="31.2" x14ac:dyDescent="0.3">
      <c r="A25" s="8">
        <v>20</v>
      </c>
      <c r="B25" s="8" t="s">
        <v>96</v>
      </c>
      <c r="C25" s="1">
        <v>24</v>
      </c>
      <c r="D25" s="18">
        <f t="shared" si="0"/>
        <v>0</v>
      </c>
      <c r="E25" s="53"/>
      <c r="F25" s="202">
        <v>4780023323671</v>
      </c>
      <c r="G25" s="110"/>
      <c r="H25" s="137"/>
      <c r="I25" s="144">
        <v>3305900009</v>
      </c>
      <c r="J25" s="98"/>
      <c r="K25" s="98"/>
      <c r="L25" s="100"/>
      <c r="M25" s="100"/>
      <c r="N25" s="101"/>
      <c r="O25" s="98"/>
    </row>
    <row r="26" spans="1:15" ht="31.2" x14ac:dyDescent="0.3">
      <c r="A26" s="8">
        <v>21</v>
      </c>
      <c r="B26" s="8" t="s">
        <v>97</v>
      </c>
      <c r="C26" s="1">
        <v>24</v>
      </c>
      <c r="D26" s="18">
        <f t="shared" si="0"/>
        <v>0</v>
      </c>
      <c r="E26" s="53"/>
      <c r="F26" s="202">
        <v>4780023323077</v>
      </c>
      <c r="G26" s="110"/>
      <c r="H26" s="137"/>
      <c r="I26" s="144">
        <v>3305900009</v>
      </c>
      <c r="J26" s="98"/>
      <c r="K26" s="98"/>
      <c r="L26" s="100"/>
      <c r="M26" s="100"/>
      <c r="N26" s="101"/>
      <c r="O26" s="98"/>
    </row>
    <row r="27" spans="1:15" ht="31.2" x14ac:dyDescent="0.3">
      <c r="A27" s="8">
        <v>22</v>
      </c>
      <c r="B27" s="8" t="s">
        <v>98</v>
      </c>
      <c r="C27" s="1">
        <v>24</v>
      </c>
      <c r="D27" s="18">
        <f t="shared" si="0"/>
        <v>0</v>
      </c>
      <c r="E27" s="53"/>
      <c r="F27" s="202">
        <v>4780023323480</v>
      </c>
      <c r="G27" s="110"/>
      <c r="H27" s="137"/>
      <c r="I27" s="144">
        <v>3305900009</v>
      </c>
      <c r="J27" s="98"/>
      <c r="K27" s="98"/>
      <c r="L27" s="100"/>
      <c r="M27" s="100"/>
      <c r="N27" s="101"/>
      <c r="O27" s="98"/>
    </row>
    <row r="28" spans="1:15" ht="31.2" x14ac:dyDescent="0.3">
      <c r="A28" s="8">
        <v>23</v>
      </c>
      <c r="B28" s="8" t="s">
        <v>99</v>
      </c>
      <c r="C28" s="1">
        <v>24</v>
      </c>
      <c r="D28" s="18">
        <f t="shared" si="0"/>
        <v>0</v>
      </c>
      <c r="E28" s="53"/>
      <c r="F28" s="202">
        <v>4780023323718</v>
      </c>
      <c r="G28" s="110"/>
      <c r="H28" s="137"/>
      <c r="I28" s="144">
        <v>3305900009</v>
      </c>
      <c r="J28" s="98"/>
      <c r="K28" s="98"/>
      <c r="L28" s="100"/>
      <c r="M28" s="100"/>
      <c r="N28" s="101"/>
      <c r="O28" s="98"/>
    </row>
    <row r="29" spans="1:15" ht="31.2" x14ac:dyDescent="0.3">
      <c r="A29" s="8">
        <v>24</v>
      </c>
      <c r="B29" s="8" t="s">
        <v>100</v>
      </c>
      <c r="C29" s="1">
        <v>24</v>
      </c>
      <c r="D29" s="18">
        <f t="shared" si="0"/>
        <v>0</v>
      </c>
      <c r="E29" s="53"/>
      <c r="F29" s="202">
        <v>4780023323763</v>
      </c>
      <c r="G29" s="110"/>
      <c r="H29" s="137"/>
      <c r="I29" s="144">
        <v>3305900009</v>
      </c>
      <c r="J29" s="98"/>
      <c r="K29" s="98"/>
      <c r="L29" s="100"/>
      <c r="M29" s="100"/>
      <c r="N29" s="101"/>
      <c r="O29" s="98"/>
    </row>
    <row r="30" spans="1:15" ht="31.2" x14ac:dyDescent="0.3">
      <c r="A30" s="8">
        <v>25</v>
      </c>
      <c r="B30" s="8" t="s">
        <v>101</v>
      </c>
      <c r="C30" s="1">
        <v>24</v>
      </c>
      <c r="D30" s="18">
        <f t="shared" si="0"/>
        <v>0</v>
      </c>
      <c r="E30" s="53"/>
      <c r="F30" s="202">
        <v>4780023323695</v>
      </c>
      <c r="G30" s="110"/>
      <c r="H30" s="137"/>
      <c r="I30" s="144">
        <v>3305900009</v>
      </c>
      <c r="J30" s="98"/>
      <c r="K30" s="98"/>
      <c r="L30" s="100"/>
      <c r="M30" s="100"/>
      <c r="N30" s="101"/>
      <c r="O30" s="98"/>
    </row>
    <row r="31" spans="1:15" ht="31.2" x14ac:dyDescent="0.3">
      <c r="A31" s="8">
        <v>26</v>
      </c>
      <c r="B31" s="8" t="s">
        <v>331</v>
      </c>
      <c r="C31" s="1">
        <v>24</v>
      </c>
      <c r="D31" s="18">
        <f t="shared" si="0"/>
        <v>0</v>
      </c>
      <c r="E31" s="53"/>
      <c r="F31" s="202">
        <v>4780023323411</v>
      </c>
      <c r="G31" s="110"/>
      <c r="H31" s="137"/>
      <c r="I31" s="144">
        <v>3305900009</v>
      </c>
      <c r="J31" s="98"/>
      <c r="K31" s="98"/>
      <c r="L31" s="100"/>
      <c r="M31" s="100"/>
      <c r="N31" s="101"/>
      <c r="O31" s="98"/>
    </row>
    <row r="32" spans="1:15" ht="31.2" x14ac:dyDescent="0.3">
      <c r="A32" s="8">
        <v>27</v>
      </c>
      <c r="B32" s="8" t="s">
        <v>102</v>
      </c>
      <c r="C32" s="1">
        <v>24</v>
      </c>
      <c r="D32" s="18">
        <f t="shared" si="0"/>
        <v>0</v>
      </c>
      <c r="E32" s="53"/>
      <c r="F32" s="202">
        <v>4780023323657</v>
      </c>
      <c r="G32" s="110"/>
      <c r="H32" s="137"/>
      <c r="I32" s="144">
        <v>3305900009</v>
      </c>
      <c r="J32" s="98"/>
      <c r="K32" s="98"/>
      <c r="L32" s="100"/>
      <c r="M32" s="100"/>
      <c r="N32" s="101"/>
      <c r="O32" s="98"/>
    </row>
    <row r="33" spans="1:15" ht="31.2" x14ac:dyDescent="0.3">
      <c r="A33" s="8">
        <v>28</v>
      </c>
      <c r="B33" s="8" t="s">
        <v>103</v>
      </c>
      <c r="C33" s="1">
        <v>24</v>
      </c>
      <c r="D33" s="18">
        <f t="shared" si="0"/>
        <v>0</v>
      </c>
      <c r="E33" s="53"/>
      <c r="F33" s="202">
        <v>4780023323503</v>
      </c>
      <c r="G33" s="110"/>
      <c r="H33" s="137"/>
      <c r="I33" s="144">
        <v>3305900009</v>
      </c>
      <c r="J33" s="98"/>
      <c r="K33" s="98"/>
      <c r="L33" s="100"/>
      <c r="M33" s="100"/>
      <c r="N33" s="101"/>
      <c r="O33" s="98"/>
    </row>
    <row r="34" spans="1:15" ht="31.2" x14ac:dyDescent="0.3">
      <c r="A34" s="8">
        <v>29</v>
      </c>
      <c r="B34" s="8" t="s">
        <v>104</v>
      </c>
      <c r="C34" s="1">
        <v>24</v>
      </c>
      <c r="D34" s="18">
        <f t="shared" si="0"/>
        <v>0</v>
      </c>
      <c r="E34" s="53"/>
      <c r="F34" s="202">
        <v>4780023323701</v>
      </c>
      <c r="G34" s="110"/>
      <c r="H34" s="137"/>
      <c r="I34" s="144">
        <v>3305900009</v>
      </c>
      <c r="J34" s="98"/>
      <c r="K34" s="98"/>
      <c r="L34" s="100"/>
      <c r="M34" s="100"/>
      <c r="N34" s="101"/>
      <c r="O34" s="98"/>
    </row>
    <row r="35" spans="1:15" ht="31.2" x14ac:dyDescent="0.3">
      <c r="A35" s="8">
        <v>30</v>
      </c>
      <c r="B35" s="8" t="s">
        <v>105</v>
      </c>
      <c r="C35" s="1">
        <v>24</v>
      </c>
      <c r="D35" s="18">
        <f t="shared" si="0"/>
        <v>0</v>
      </c>
      <c r="E35" s="53"/>
      <c r="F35" s="202">
        <v>4780023323428</v>
      </c>
      <c r="G35" s="110"/>
      <c r="H35" s="137"/>
      <c r="I35" s="144">
        <v>3305900009</v>
      </c>
      <c r="J35" s="98"/>
      <c r="K35" s="98"/>
      <c r="L35" s="100"/>
      <c r="M35" s="100"/>
      <c r="N35" s="101"/>
      <c r="O35" s="98"/>
    </row>
    <row r="36" spans="1:15" ht="31.2" x14ac:dyDescent="0.3">
      <c r="A36" s="8">
        <v>31</v>
      </c>
      <c r="B36" s="8" t="s">
        <v>106</v>
      </c>
      <c r="C36" s="1">
        <v>24</v>
      </c>
      <c r="D36" s="18">
        <f t="shared" si="0"/>
        <v>0</v>
      </c>
      <c r="E36" s="53"/>
      <c r="F36" s="202">
        <v>4780023323664</v>
      </c>
      <c r="G36" s="110"/>
      <c r="H36" s="137"/>
      <c r="I36" s="144">
        <v>3305900009</v>
      </c>
      <c r="J36" s="98"/>
      <c r="K36" s="98"/>
      <c r="L36" s="100"/>
      <c r="M36" s="100"/>
      <c r="N36" s="101"/>
      <c r="O36" s="98"/>
    </row>
    <row r="37" spans="1:15" ht="31.2" x14ac:dyDescent="0.3">
      <c r="A37" s="8">
        <v>32</v>
      </c>
      <c r="B37" s="8" t="s">
        <v>320</v>
      </c>
      <c r="C37" s="1">
        <v>24</v>
      </c>
      <c r="D37" s="18">
        <f t="shared" si="0"/>
        <v>0</v>
      </c>
      <c r="E37" s="53"/>
      <c r="F37" s="202">
        <v>4780023323688</v>
      </c>
      <c r="G37" s="110"/>
      <c r="H37" s="137"/>
      <c r="I37" s="144">
        <v>3305900009</v>
      </c>
      <c r="J37" s="98"/>
      <c r="K37" s="98"/>
      <c r="L37" s="100"/>
      <c r="M37" s="100"/>
      <c r="N37" s="101"/>
      <c r="O37" s="98"/>
    </row>
    <row r="38" spans="1:15" ht="31.2" x14ac:dyDescent="0.3">
      <c r="A38" s="8">
        <v>33</v>
      </c>
      <c r="B38" s="8" t="s">
        <v>107</v>
      </c>
      <c r="C38" s="1">
        <v>24</v>
      </c>
      <c r="D38" s="18">
        <f>+C38*E38</f>
        <v>0</v>
      </c>
      <c r="E38" s="53"/>
      <c r="F38" s="202">
        <v>4780023323640</v>
      </c>
      <c r="G38" s="110"/>
      <c r="H38" s="137"/>
      <c r="I38" s="144">
        <v>3305900009</v>
      </c>
      <c r="J38" s="98"/>
      <c r="K38" s="98"/>
      <c r="L38" s="100"/>
      <c r="M38" s="100"/>
      <c r="N38" s="101"/>
      <c r="O38" s="98"/>
    </row>
    <row r="39" spans="1:15" ht="31.2" x14ac:dyDescent="0.3">
      <c r="A39" s="8">
        <v>34</v>
      </c>
      <c r="B39" s="8" t="s">
        <v>108</v>
      </c>
      <c r="C39" s="1">
        <v>24</v>
      </c>
      <c r="D39" s="18">
        <f t="shared" si="0"/>
        <v>0</v>
      </c>
      <c r="E39" s="53"/>
      <c r="F39" s="202">
        <v>4780023323756</v>
      </c>
      <c r="G39" s="110"/>
      <c r="H39" s="137"/>
      <c r="I39" s="144">
        <v>3305900009</v>
      </c>
      <c r="J39" s="98"/>
      <c r="K39" s="98"/>
      <c r="L39" s="100"/>
      <c r="M39" s="100"/>
      <c r="N39" s="101"/>
      <c r="O39" s="98"/>
    </row>
    <row r="40" spans="1:15" ht="31.2" x14ac:dyDescent="0.3">
      <c r="A40" s="8">
        <v>35</v>
      </c>
      <c r="B40" s="8" t="s">
        <v>109</v>
      </c>
      <c r="C40" s="1">
        <v>24</v>
      </c>
      <c r="D40" s="18">
        <f t="shared" si="0"/>
        <v>0</v>
      </c>
      <c r="E40" s="53"/>
      <c r="F40" s="202">
        <v>4780023323732</v>
      </c>
      <c r="G40" s="110"/>
      <c r="H40" s="137"/>
      <c r="I40" s="144">
        <v>3305900009</v>
      </c>
      <c r="J40" s="98"/>
      <c r="K40" s="98"/>
      <c r="L40" s="100"/>
      <c r="M40" s="100"/>
      <c r="N40" s="101"/>
      <c r="O40" s="98"/>
    </row>
    <row r="41" spans="1:15" ht="31.2" x14ac:dyDescent="0.3">
      <c r="A41" s="8">
        <v>36</v>
      </c>
      <c r="B41" s="8" t="s">
        <v>110</v>
      </c>
      <c r="C41" s="1">
        <v>24</v>
      </c>
      <c r="D41" s="18">
        <f t="shared" si="0"/>
        <v>0</v>
      </c>
      <c r="E41" s="53"/>
      <c r="F41" s="202">
        <v>4780023323725</v>
      </c>
      <c r="G41" s="110"/>
      <c r="H41" s="137"/>
      <c r="I41" s="144">
        <v>3305900009</v>
      </c>
      <c r="J41" s="98"/>
      <c r="K41" s="98"/>
      <c r="L41" s="100"/>
      <c r="M41" s="100"/>
      <c r="N41" s="101"/>
      <c r="O41" s="98"/>
    </row>
    <row r="42" spans="1:15" ht="31.2" x14ac:dyDescent="0.3">
      <c r="A42" s="8">
        <v>37</v>
      </c>
      <c r="B42" s="8" t="s">
        <v>332</v>
      </c>
      <c r="C42" s="1">
        <v>24</v>
      </c>
      <c r="D42" s="18">
        <f t="shared" si="0"/>
        <v>0</v>
      </c>
      <c r="E42" s="53"/>
      <c r="F42" s="202">
        <v>4780023323107</v>
      </c>
      <c r="G42" s="110"/>
      <c r="H42" s="137"/>
      <c r="I42" s="144">
        <v>3305900009</v>
      </c>
      <c r="J42" s="98"/>
      <c r="K42" s="98"/>
      <c r="L42" s="100"/>
      <c r="M42" s="100"/>
      <c r="N42" s="101"/>
      <c r="O42" s="98"/>
    </row>
    <row r="43" spans="1:15" ht="31.2" x14ac:dyDescent="0.3">
      <c r="A43" s="8">
        <v>38</v>
      </c>
      <c r="B43" s="8" t="s">
        <v>111</v>
      </c>
      <c r="C43" s="1">
        <v>24</v>
      </c>
      <c r="D43" s="18">
        <f t="shared" si="0"/>
        <v>0</v>
      </c>
      <c r="E43" s="53"/>
      <c r="F43" s="202">
        <v>4780023320038</v>
      </c>
      <c r="G43" s="110"/>
      <c r="H43" s="137"/>
      <c r="I43" s="144">
        <v>3305900009</v>
      </c>
      <c r="J43" s="98"/>
      <c r="K43" s="98"/>
      <c r="L43" s="100"/>
      <c r="M43" s="100"/>
      <c r="N43" s="101"/>
      <c r="O43" s="98"/>
    </row>
    <row r="44" spans="1:15" ht="31.2" x14ac:dyDescent="0.3">
      <c r="A44" s="8">
        <v>39</v>
      </c>
      <c r="B44" s="8" t="s">
        <v>112</v>
      </c>
      <c r="C44" s="1">
        <v>24</v>
      </c>
      <c r="D44" s="18">
        <f t="shared" si="0"/>
        <v>0</v>
      </c>
      <c r="E44" s="53"/>
      <c r="F44" s="202">
        <v>4780023323091</v>
      </c>
      <c r="G44" s="110"/>
      <c r="H44" s="137"/>
      <c r="I44" s="144">
        <v>3305900009</v>
      </c>
      <c r="J44" s="98"/>
      <c r="K44" s="98"/>
      <c r="L44" s="100"/>
      <c r="M44" s="100"/>
      <c r="N44" s="101"/>
      <c r="O44" s="98"/>
    </row>
    <row r="45" spans="1:15" ht="31.2" x14ac:dyDescent="0.3">
      <c r="A45" s="8">
        <v>40</v>
      </c>
      <c r="B45" s="8" t="s">
        <v>113</v>
      </c>
      <c r="C45" s="1">
        <v>24</v>
      </c>
      <c r="D45" s="18">
        <f t="shared" si="0"/>
        <v>0</v>
      </c>
      <c r="E45" s="53"/>
      <c r="F45" s="202">
        <v>4780023323084</v>
      </c>
      <c r="G45" s="110"/>
      <c r="H45" s="137"/>
      <c r="I45" s="144">
        <v>3305900009</v>
      </c>
      <c r="J45" s="98"/>
      <c r="K45" s="98"/>
      <c r="L45" s="100"/>
      <c r="M45" s="100"/>
      <c r="N45" s="101"/>
      <c r="O45" s="98"/>
    </row>
    <row r="46" spans="1:15" s="7" customFormat="1" ht="16.2" x14ac:dyDescent="0.3">
      <c r="A46" s="45"/>
      <c r="B46" s="46"/>
      <c r="C46" s="156"/>
      <c r="D46" s="156"/>
      <c r="E46" s="156"/>
      <c r="F46" s="157"/>
      <c r="G46" s="112"/>
      <c r="H46" s="137"/>
      <c r="I46" s="98" t="s">
        <v>211</v>
      </c>
      <c r="J46" s="98"/>
      <c r="K46" s="98"/>
      <c r="L46" s="98"/>
      <c r="M46" s="98"/>
      <c r="N46" s="98"/>
      <c r="O46" s="98"/>
    </row>
    <row r="47" spans="1:15" ht="32.4" x14ac:dyDescent="0.3">
      <c r="A47" s="104" t="s">
        <v>76</v>
      </c>
      <c r="B47" s="103" t="s">
        <v>374</v>
      </c>
      <c r="C47" s="107"/>
      <c r="D47" s="113">
        <f>SUM(D48:D77)</f>
        <v>0</v>
      </c>
      <c r="E47" s="113">
        <f>SUM(E48:E77)</f>
        <v>0</v>
      </c>
      <c r="F47" s="123"/>
      <c r="G47" s="108">
        <v>0.7</v>
      </c>
      <c r="H47" s="137">
        <f>G47*D47</f>
        <v>0</v>
      </c>
      <c r="I47" s="146" t="s">
        <v>211</v>
      </c>
      <c r="J47" s="98"/>
      <c r="K47" s="98"/>
      <c r="L47" s="100"/>
      <c r="M47" s="100"/>
      <c r="N47" s="101"/>
      <c r="O47" s="98"/>
    </row>
    <row r="48" spans="1:15" ht="31.2" x14ac:dyDescent="0.3">
      <c r="A48" s="55">
        <v>1</v>
      </c>
      <c r="B48" s="8" t="s">
        <v>114</v>
      </c>
      <c r="C48" s="2">
        <v>18</v>
      </c>
      <c r="D48" s="8">
        <f>E48*C48</f>
        <v>0</v>
      </c>
      <c r="E48" s="39"/>
      <c r="F48" s="202" t="s">
        <v>222</v>
      </c>
      <c r="G48" s="110"/>
      <c r="H48" s="137"/>
      <c r="I48" s="144">
        <v>3305900009</v>
      </c>
      <c r="J48" s="98"/>
      <c r="K48" s="98"/>
      <c r="L48" s="100"/>
      <c r="M48" s="100"/>
      <c r="N48" s="101"/>
      <c r="O48" s="98"/>
    </row>
    <row r="49" spans="1:15" ht="31.2" x14ac:dyDescent="0.3">
      <c r="A49" s="55">
        <v>2</v>
      </c>
      <c r="B49" s="8" t="s">
        <v>321</v>
      </c>
      <c r="C49" s="2">
        <v>18</v>
      </c>
      <c r="D49" s="8">
        <f t="shared" ref="D49:D76" si="1">E49*C49</f>
        <v>0</v>
      </c>
      <c r="E49" s="39"/>
      <c r="F49" s="202">
        <v>4780023328256</v>
      </c>
      <c r="G49" s="110"/>
      <c r="H49" s="137"/>
      <c r="I49" s="144">
        <v>3305900009</v>
      </c>
      <c r="J49" s="98"/>
      <c r="K49" s="98"/>
      <c r="L49" s="100"/>
      <c r="M49" s="100"/>
      <c r="N49" s="101"/>
      <c r="O49" s="98"/>
    </row>
    <row r="50" spans="1:15" ht="31.2" x14ac:dyDescent="0.3">
      <c r="A50" s="55">
        <v>3</v>
      </c>
      <c r="B50" s="8" t="s">
        <v>115</v>
      </c>
      <c r="C50" s="2">
        <v>18</v>
      </c>
      <c r="D50" s="8">
        <f t="shared" si="1"/>
        <v>0</v>
      </c>
      <c r="E50" s="39"/>
      <c r="F50" s="202" t="s">
        <v>223</v>
      </c>
      <c r="G50" s="110"/>
      <c r="H50" s="137"/>
      <c r="I50" s="144">
        <v>3305900009</v>
      </c>
      <c r="J50" s="98"/>
      <c r="K50" s="98"/>
      <c r="L50" s="100"/>
      <c r="M50" s="100"/>
      <c r="N50" s="101"/>
      <c r="O50" s="98"/>
    </row>
    <row r="51" spans="1:15" ht="31.2" x14ac:dyDescent="0.3">
      <c r="A51" s="55">
        <v>4</v>
      </c>
      <c r="B51" s="8" t="s">
        <v>116</v>
      </c>
      <c r="C51" s="2">
        <v>18</v>
      </c>
      <c r="D51" s="8">
        <f t="shared" si="1"/>
        <v>0</v>
      </c>
      <c r="E51" s="39"/>
      <c r="F51" s="202" t="s">
        <v>224</v>
      </c>
      <c r="G51" s="110"/>
      <c r="H51" s="137"/>
      <c r="I51" s="144">
        <v>3305900009</v>
      </c>
      <c r="J51" s="98"/>
      <c r="K51" s="98"/>
      <c r="L51" s="100"/>
      <c r="M51" s="100"/>
      <c r="N51" s="101"/>
      <c r="O51" s="98"/>
    </row>
    <row r="52" spans="1:15" ht="31.2" x14ac:dyDescent="0.3">
      <c r="A52" s="55">
        <v>5</v>
      </c>
      <c r="B52" s="8" t="s">
        <v>117</v>
      </c>
      <c r="C52" s="2">
        <v>18</v>
      </c>
      <c r="D52" s="8">
        <f t="shared" si="1"/>
        <v>0</v>
      </c>
      <c r="E52" s="39"/>
      <c r="F52" s="202" t="s">
        <v>225</v>
      </c>
      <c r="G52" s="110"/>
      <c r="H52" s="137"/>
      <c r="I52" s="144">
        <v>3305900009</v>
      </c>
      <c r="J52" s="98"/>
      <c r="K52" s="98"/>
      <c r="L52" s="100"/>
      <c r="M52" s="100"/>
      <c r="N52" s="101"/>
      <c r="O52" s="98"/>
    </row>
    <row r="53" spans="1:15" ht="31.2" x14ac:dyDescent="0.3">
      <c r="A53" s="55">
        <v>6</v>
      </c>
      <c r="B53" s="8" t="s">
        <v>118</v>
      </c>
      <c r="C53" s="2">
        <v>18</v>
      </c>
      <c r="D53" s="8">
        <f t="shared" si="1"/>
        <v>0</v>
      </c>
      <c r="E53" s="39"/>
      <c r="F53" s="202" t="s">
        <v>226</v>
      </c>
      <c r="G53" s="110"/>
      <c r="H53" s="137"/>
      <c r="I53" s="144">
        <v>3305900009</v>
      </c>
      <c r="J53" s="98"/>
      <c r="K53" s="98"/>
      <c r="L53" s="100"/>
      <c r="M53" s="100"/>
      <c r="N53" s="101"/>
      <c r="O53" s="98"/>
    </row>
    <row r="54" spans="1:15" ht="31.2" x14ac:dyDescent="0.3">
      <c r="A54" s="55">
        <v>7</v>
      </c>
      <c r="B54" s="8" t="s">
        <v>322</v>
      </c>
      <c r="C54" s="2">
        <v>18</v>
      </c>
      <c r="D54" s="8">
        <f t="shared" si="1"/>
        <v>0</v>
      </c>
      <c r="E54" s="39"/>
      <c r="F54" s="202" t="s">
        <v>227</v>
      </c>
      <c r="G54" s="110"/>
      <c r="H54" s="137"/>
      <c r="I54" s="144">
        <v>3305900009</v>
      </c>
      <c r="J54" s="98"/>
      <c r="K54" s="98"/>
      <c r="L54" s="100"/>
      <c r="M54" s="100"/>
      <c r="N54" s="101"/>
      <c r="O54" s="98"/>
    </row>
    <row r="55" spans="1:15" ht="31.2" x14ac:dyDescent="0.3">
      <c r="A55" s="55">
        <v>8</v>
      </c>
      <c r="B55" s="8" t="s">
        <v>323</v>
      </c>
      <c r="C55" s="2">
        <v>18</v>
      </c>
      <c r="D55" s="8">
        <f t="shared" si="1"/>
        <v>0</v>
      </c>
      <c r="E55" s="39"/>
      <c r="F55" s="202" t="s">
        <v>228</v>
      </c>
      <c r="G55" s="110"/>
      <c r="H55" s="137"/>
      <c r="I55" s="144">
        <v>3305900009</v>
      </c>
      <c r="J55" s="98"/>
      <c r="K55" s="98"/>
      <c r="L55" s="100"/>
      <c r="M55" s="100"/>
      <c r="N55" s="101"/>
      <c r="O55" s="98"/>
    </row>
    <row r="56" spans="1:15" ht="31.2" x14ac:dyDescent="0.3">
      <c r="A56" s="55">
        <v>9</v>
      </c>
      <c r="B56" s="8" t="s">
        <v>119</v>
      </c>
      <c r="C56" s="2">
        <v>18</v>
      </c>
      <c r="D56" s="8">
        <f t="shared" si="1"/>
        <v>0</v>
      </c>
      <c r="E56" s="39"/>
      <c r="F56" s="202" t="s">
        <v>229</v>
      </c>
      <c r="G56" s="110"/>
      <c r="H56" s="137"/>
      <c r="I56" s="144">
        <v>3305900009</v>
      </c>
      <c r="J56" s="98"/>
      <c r="K56" s="98"/>
      <c r="L56" s="100"/>
      <c r="M56" s="100"/>
      <c r="N56" s="101"/>
      <c r="O56" s="98"/>
    </row>
    <row r="57" spans="1:15" ht="31.2" x14ac:dyDescent="0.3">
      <c r="A57" s="55">
        <v>10</v>
      </c>
      <c r="B57" s="8" t="s">
        <v>120</v>
      </c>
      <c r="C57" s="2">
        <v>18</v>
      </c>
      <c r="D57" s="8">
        <f t="shared" si="1"/>
        <v>0</v>
      </c>
      <c r="E57" s="39"/>
      <c r="F57" s="202" t="s">
        <v>230</v>
      </c>
      <c r="G57" s="110"/>
      <c r="H57" s="137"/>
      <c r="I57" s="144">
        <v>3305900009</v>
      </c>
      <c r="J57" s="98"/>
      <c r="K57" s="98"/>
      <c r="L57" s="100"/>
      <c r="M57" s="100"/>
      <c r="N57" s="101"/>
      <c r="O57" s="98"/>
    </row>
    <row r="58" spans="1:15" ht="31.2" x14ac:dyDescent="0.3">
      <c r="A58" s="55">
        <v>11</v>
      </c>
      <c r="B58" s="8" t="s">
        <v>121</v>
      </c>
      <c r="C58" s="2">
        <v>18</v>
      </c>
      <c r="D58" s="8">
        <f t="shared" si="1"/>
        <v>0</v>
      </c>
      <c r="E58" s="39"/>
      <c r="F58" s="202" t="s">
        <v>231</v>
      </c>
      <c r="G58" s="110"/>
      <c r="H58" s="137"/>
      <c r="I58" s="144">
        <v>3305900009</v>
      </c>
      <c r="J58" s="98"/>
      <c r="K58" s="98"/>
      <c r="L58" s="100"/>
      <c r="M58" s="100"/>
      <c r="N58" s="101"/>
      <c r="O58" s="98"/>
    </row>
    <row r="59" spans="1:15" ht="31.2" x14ac:dyDescent="0.3">
      <c r="A59" s="55">
        <v>12</v>
      </c>
      <c r="B59" s="8" t="s">
        <v>122</v>
      </c>
      <c r="C59" s="2">
        <v>18</v>
      </c>
      <c r="D59" s="8">
        <f t="shared" si="1"/>
        <v>0</v>
      </c>
      <c r="E59" s="39"/>
      <c r="F59" s="202" t="s">
        <v>232</v>
      </c>
      <c r="G59" s="110"/>
      <c r="H59" s="137"/>
      <c r="I59" s="144">
        <v>3305900009</v>
      </c>
      <c r="J59" s="98"/>
      <c r="K59" s="98"/>
      <c r="L59" s="100"/>
      <c r="M59" s="100"/>
      <c r="N59" s="101"/>
      <c r="O59" s="98"/>
    </row>
    <row r="60" spans="1:15" ht="31.2" x14ac:dyDescent="0.3">
      <c r="A60" s="55">
        <v>13</v>
      </c>
      <c r="B60" s="8" t="s">
        <v>123</v>
      </c>
      <c r="C60" s="2">
        <v>18</v>
      </c>
      <c r="D60" s="8">
        <f t="shared" si="1"/>
        <v>0</v>
      </c>
      <c r="E60" s="39"/>
      <c r="F60" s="202" t="s">
        <v>233</v>
      </c>
      <c r="G60" s="110"/>
      <c r="H60" s="137"/>
      <c r="I60" s="144">
        <v>3305900009</v>
      </c>
      <c r="J60" s="98"/>
      <c r="K60" s="98"/>
      <c r="L60" s="100"/>
      <c r="M60" s="100"/>
      <c r="N60" s="101"/>
      <c r="O60" s="98"/>
    </row>
    <row r="61" spans="1:15" ht="31.2" x14ac:dyDescent="0.3">
      <c r="A61" s="55">
        <v>14</v>
      </c>
      <c r="B61" s="8" t="s">
        <v>124</v>
      </c>
      <c r="C61" s="2">
        <v>18</v>
      </c>
      <c r="D61" s="8">
        <f t="shared" si="1"/>
        <v>0</v>
      </c>
      <c r="E61" s="39"/>
      <c r="F61" s="202" t="s">
        <v>234</v>
      </c>
      <c r="G61" s="110"/>
      <c r="H61" s="137"/>
      <c r="I61" s="144">
        <v>3305900009</v>
      </c>
      <c r="J61" s="98"/>
      <c r="K61" s="98"/>
      <c r="L61" s="100"/>
      <c r="M61" s="100"/>
      <c r="N61" s="101"/>
      <c r="O61" s="98"/>
    </row>
    <row r="62" spans="1:15" ht="31.2" x14ac:dyDescent="0.3">
      <c r="A62" s="55">
        <v>15</v>
      </c>
      <c r="B62" s="8" t="s">
        <v>125</v>
      </c>
      <c r="C62" s="2">
        <v>18</v>
      </c>
      <c r="D62" s="8">
        <f t="shared" si="1"/>
        <v>0</v>
      </c>
      <c r="E62" s="39"/>
      <c r="F62" s="202" t="s">
        <v>235</v>
      </c>
      <c r="G62" s="110"/>
      <c r="H62" s="137"/>
      <c r="I62" s="144">
        <v>3305900009</v>
      </c>
      <c r="J62" s="98"/>
      <c r="K62" s="98"/>
      <c r="L62" s="100"/>
      <c r="M62" s="100"/>
      <c r="N62" s="101"/>
      <c r="O62" s="98"/>
    </row>
    <row r="63" spans="1:15" ht="31.2" x14ac:dyDescent="0.3">
      <c r="A63" s="55">
        <v>16</v>
      </c>
      <c r="B63" s="8" t="s">
        <v>126</v>
      </c>
      <c r="C63" s="2">
        <v>18</v>
      </c>
      <c r="D63" s="8">
        <f t="shared" si="1"/>
        <v>0</v>
      </c>
      <c r="E63" s="39"/>
      <c r="F63" s="202" t="s">
        <v>236</v>
      </c>
      <c r="G63" s="110"/>
      <c r="H63" s="137"/>
      <c r="I63" s="144">
        <v>3305900009</v>
      </c>
      <c r="J63" s="98"/>
      <c r="K63" s="98"/>
      <c r="L63" s="100"/>
      <c r="M63" s="100"/>
      <c r="N63" s="101"/>
      <c r="O63" s="98"/>
    </row>
    <row r="64" spans="1:15" ht="31.2" x14ac:dyDescent="0.3">
      <c r="A64" s="55">
        <v>17</v>
      </c>
      <c r="B64" s="8" t="s">
        <v>127</v>
      </c>
      <c r="C64" s="2">
        <v>18</v>
      </c>
      <c r="D64" s="8">
        <f t="shared" si="1"/>
        <v>0</v>
      </c>
      <c r="E64" s="39"/>
      <c r="F64" s="202" t="s">
        <v>237</v>
      </c>
      <c r="G64" s="110"/>
      <c r="H64" s="137"/>
      <c r="I64" s="144">
        <v>3305900009</v>
      </c>
      <c r="J64" s="98"/>
      <c r="K64" s="98"/>
      <c r="L64" s="100"/>
      <c r="M64" s="100"/>
      <c r="N64" s="101"/>
      <c r="O64" s="98"/>
    </row>
    <row r="65" spans="1:21" ht="31.2" x14ac:dyDescent="0.3">
      <c r="A65" s="55">
        <v>18</v>
      </c>
      <c r="B65" s="8" t="s">
        <v>128</v>
      </c>
      <c r="C65" s="2">
        <v>18</v>
      </c>
      <c r="D65" s="8">
        <f t="shared" si="1"/>
        <v>0</v>
      </c>
      <c r="E65" s="39"/>
      <c r="F65" s="202" t="s">
        <v>238</v>
      </c>
      <c r="G65" s="110"/>
      <c r="H65" s="137"/>
      <c r="I65" s="144">
        <v>3305900009</v>
      </c>
      <c r="J65" s="98"/>
      <c r="K65" s="98"/>
      <c r="L65" s="100"/>
      <c r="M65" s="100"/>
      <c r="N65" s="101"/>
      <c r="O65" s="98"/>
    </row>
    <row r="66" spans="1:21" ht="31.2" x14ac:dyDescent="0.3">
      <c r="A66" s="55">
        <v>19</v>
      </c>
      <c r="B66" s="8" t="s">
        <v>129</v>
      </c>
      <c r="C66" s="2">
        <v>18</v>
      </c>
      <c r="D66" s="8">
        <f t="shared" si="1"/>
        <v>0</v>
      </c>
      <c r="E66" s="39"/>
      <c r="F66" s="202" t="s">
        <v>239</v>
      </c>
      <c r="G66" s="110"/>
      <c r="H66" s="137"/>
      <c r="I66" s="144">
        <v>3305900009</v>
      </c>
      <c r="J66" s="203"/>
      <c r="K66" s="98"/>
      <c r="L66" s="100"/>
      <c r="M66" s="100"/>
      <c r="N66" s="101"/>
      <c r="O66" s="98"/>
    </row>
    <row r="67" spans="1:21" ht="31.2" x14ac:dyDescent="0.3">
      <c r="A67" s="55">
        <v>20</v>
      </c>
      <c r="B67" s="8" t="s">
        <v>131</v>
      </c>
      <c r="C67" s="2">
        <v>18</v>
      </c>
      <c r="D67" s="8">
        <f t="shared" si="1"/>
        <v>0</v>
      </c>
      <c r="E67" s="39"/>
      <c r="F67" s="202" t="s">
        <v>240</v>
      </c>
      <c r="G67" s="110"/>
      <c r="H67" s="137"/>
      <c r="I67" s="144">
        <v>3305900009</v>
      </c>
      <c r="J67" s="98"/>
      <c r="K67" s="98"/>
      <c r="L67" s="100"/>
      <c r="M67" s="100"/>
      <c r="N67" s="101"/>
      <c r="O67" s="98"/>
    </row>
    <row r="68" spans="1:21" ht="31.2" x14ac:dyDescent="0.3">
      <c r="A68" s="55">
        <v>21</v>
      </c>
      <c r="B68" s="8" t="s">
        <v>132</v>
      </c>
      <c r="C68" s="2">
        <v>18</v>
      </c>
      <c r="D68" s="8">
        <f t="shared" si="1"/>
        <v>0</v>
      </c>
      <c r="E68" s="39"/>
      <c r="F68" s="202" t="s">
        <v>241</v>
      </c>
      <c r="G68" s="110"/>
      <c r="H68" s="137"/>
      <c r="I68" s="144">
        <v>3305900009</v>
      </c>
      <c r="J68" s="98"/>
      <c r="K68" s="98"/>
      <c r="L68" s="100"/>
      <c r="M68" s="100"/>
      <c r="N68" s="101"/>
      <c r="O68" s="98"/>
    </row>
    <row r="69" spans="1:21" ht="31.2" x14ac:dyDescent="0.3">
      <c r="A69" s="55">
        <v>22</v>
      </c>
      <c r="B69" s="8" t="s">
        <v>130</v>
      </c>
      <c r="C69" s="2">
        <v>18</v>
      </c>
      <c r="D69" s="8">
        <f t="shared" si="1"/>
        <v>0</v>
      </c>
      <c r="E69" s="39"/>
      <c r="F69" s="202" t="s">
        <v>242</v>
      </c>
      <c r="G69" s="110"/>
      <c r="H69" s="137"/>
      <c r="I69" s="144">
        <v>3305900009</v>
      </c>
      <c r="J69" s="98"/>
      <c r="K69" s="98"/>
      <c r="L69" s="100"/>
      <c r="M69" s="100"/>
      <c r="N69" s="101"/>
      <c r="O69" s="98"/>
    </row>
    <row r="70" spans="1:21" ht="31.2" x14ac:dyDescent="0.3">
      <c r="A70" s="55">
        <v>23</v>
      </c>
      <c r="B70" s="8" t="s">
        <v>133</v>
      </c>
      <c r="C70" s="2">
        <v>18</v>
      </c>
      <c r="D70" s="8">
        <f t="shared" si="1"/>
        <v>0</v>
      </c>
      <c r="E70" s="39"/>
      <c r="F70" s="202" t="s">
        <v>243</v>
      </c>
      <c r="G70" s="110"/>
      <c r="H70" s="137"/>
      <c r="I70" s="144">
        <v>3305900009</v>
      </c>
      <c r="J70" s="98"/>
      <c r="K70" s="98"/>
      <c r="L70" s="100"/>
      <c r="M70" s="100"/>
      <c r="N70" s="101"/>
      <c r="O70" s="98"/>
    </row>
    <row r="71" spans="1:21" ht="31.2" x14ac:dyDescent="0.3">
      <c r="A71" s="55">
        <v>24</v>
      </c>
      <c r="B71" s="8" t="s">
        <v>324</v>
      </c>
      <c r="C71" s="2">
        <v>18</v>
      </c>
      <c r="D71" s="8">
        <f t="shared" si="1"/>
        <v>0</v>
      </c>
      <c r="E71" s="39"/>
      <c r="F71" s="202" t="s">
        <v>244</v>
      </c>
      <c r="G71" s="110"/>
      <c r="H71" s="137"/>
      <c r="I71" s="144">
        <v>3305900009</v>
      </c>
      <c r="J71" s="98"/>
      <c r="K71" s="98"/>
      <c r="L71" s="100"/>
      <c r="M71" s="100"/>
      <c r="N71" s="101"/>
      <c r="O71" s="98"/>
    </row>
    <row r="72" spans="1:21" ht="31.2" x14ac:dyDescent="0.3">
      <c r="A72" s="55">
        <v>25</v>
      </c>
      <c r="B72" s="8" t="s">
        <v>134</v>
      </c>
      <c r="C72" s="2">
        <v>18</v>
      </c>
      <c r="D72" s="8">
        <f t="shared" si="1"/>
        <v>0</v>
      </c>
      <c r="E72" s="39"/>
      <c r="F72" s="202" t="s">
        <v>245</v>
      </c>
      <c r="G72" s="110"/>
      <c r="H72" s="137"/>
      <c r="I72" s="144">
        <v>3305900009</v>
      </c>
      <c r="J72" s="98"/>
      <c r="K72" s="98"/>
      <c r="L72" s="100"/>
      <c r="M72" s="100"/>
      <c r="N72" s="101"/>
      <c r="O72" s="98"/>
    </row>
    <row r="73" spans="1:21" ht="31.2" x14ac:dyDescent="0.3">
      <c r="A73" s="55">
        <v>26</v>
      </c>
      <c r="B73" s="8" t="s">
        <v>135</v>
      </c>
      <c r="C73" s="2">
        <v>18</v>
      </c>
      <c r="D73" s="8">
        <f t="shared" si="1"/>
        <v>0</v>
      </c>
      <c r="E73" s="39"/>
      <c r="F73" s="202" t="s">
        <v>246</v>
      </c>
      <c r="G73" s="110"/>
      <c r="H73" s="137"/>
      <c r="I73" s="144">
        <v>3305900009</v>
      </c>
      <c r="J73" s="98"/>
      <c r="K73" s="98"/>
      <c r="L73" s="100"/>
      <c r="M73" s="100"/>
      <c r="N73" s="101"/>
      <c r="O73" s="98"/>
      <c r="Q73" s="13"/>
      <c r="R73" s="13"/>
      <c r="S73" s="13"/>
      <c r="T73" s="14"/>
      <c r="U73" s="14"/>
    </row>
    <row r="74" spans="1:21" ht="31.2" x14ac:dyDescent="0.3">
      <c r="A74" s="55">
        <v>27</v>
      </c>
      <c r="B74" s="8" t="s">
        <v>136</v>
      </c>
      <c r="C74" s="2">
        <v>18</v>
      </c>
      <c r="D74" s="8">
        <f t="shared" si="1"/>
        <v>0</v>
      </c>
      <c r="E74" s="39"/>
      <c r="F74" s="202" t="s">
        <v>247</v>
      </c>
      <c r="G74" s="110"/>
      <c r="H74" s="137"/>
      <c r="I74" s="144">
        <v>3305900009</v>
      </c>
      <c r="J74" s="98"/>
      <c r="K74" s="98"/>
      <c r="L74" s="100"/>
      <c r="M74" s="100"/>
      <c r="N74" s="101"/>
      <c r="O74" s="98"/>
    </row>
    <row r="75" spans="1:21" ht="31.2" x14ac:dyDescent="0.3">
      <c r="A75" s="55">
        <v>28</v>
      </c>
      <c r="B75" s="8" t="s">
        <v>137</v>
      </c>
      <c r="C75" s="2">
        <v>18</v>
      </c>
      <c r="D75" s="8">
        <f t="shared" si="1"/>
        <v>0</v>
      </c>
      <c r="E75" s="39"/>
      <c r="F75" s="202" t="s">
        <v>248</v>
      </c>
      <c r="G75" s="110"/>
      <c r="H75" s="137"/>
      <c r="I75" s="144">
        <v>3305900009</v>
      </c>
      <c r="J75" s="98"/>
      <c r="K75" s="98"/>
      <c r="L75" s="100"/>
      <c r="M75" s="100"/>
      <c r="N75" s="101"/>
      <c r="O75" s="98"/>
    </row>
    <row r="76" spans="1:21" ht="31.2" x14ac:dyDescent="0.3">
      <c r="A76" s="55">
        <v>29</v>
      </c>
      <c r="B76" s="8" t="s">
        <v>138</v>
      </c>
      <c r="C76" s="2">
        <v>18</v>
      </c>
      <c r="D76" s="8">
        <f t="shared" si="1"/>
        <v>0</v>
      </c>
      <c r="E76" s="39"/>
      <c r="F76" s="202" t="s">
        <v>249</v>
      </c>
      <c r="G76" s="110"/>
      <c r="H76" s="137"/>
      <c r="I76" s="144">
        <v>3305900009</v>
      </c>
      <c r="J76" s="98"/>
      <c r="K76" s="98"/>
      <c r="L76" s="100"/>
      <c r="M76" s="100"/>
      <c r="N76" s="101"/>
      <c r="O76" s="98"/>
    </row>
    <row r="77" spans="1:21" ht="31.2" x14ac:dyDescent="0.3">
      <c r="A77" s="55">
        <v>30</v>
      </c>
      <c r="B77" s="8" t="s">
        <v>139</v>
      </c>
      <c r="C77" s="2">
        <v>18</v>
      </c>
      <c r="D77" s="8">
        <f>E77*C77</f>
        <v>0</v>
      </c>
      <c r="E77" s="39"/>
      <c r="F77" s="202" t="s">
        <v>250</v>
      </c>
      <c r="G77" s="110"/>
      <c r="H77" s="137"/>
      <c r="I77" s="144">
        <v>3305900009</v>
      </c>
      <c r="J77" s="98"/>
      <c r="K77" s="98"/>
      <c r="L77" s="100"/>
      <c r="M77" s="100"/>
      <c r="N77" s="101"/>
      <c r="O77" s="98"/>
    </row>
    <row r="78" spans="1:21" ht="15.6" x14ac:dyDescent="0.3">
      <c r="A78" s="158"/>
      <c r="B78" s="159"/>
      <c r="C78" s="158"/>
      <c r="D78" s="159"/>
      <c r="E78" s="159"/>
      <c r="F78" s="124"/>
      <c r="G78" s="112"/>
      <c r="H78" s="137"/>
      <c r="I78" s="147" t="s">
        <v>211</v>
      </c>
      <c r="J78" s="98"/>
      <c r="K78" s="98"/>
      <c r="L78" s="100"/>
      <c r="M78" s="100"/>
      <c r="N78" s="101"/>
      <c r="O78" s="98"/>
    </row>
    <row r="79" spans="1:21" ht="32.4" x14ac:dyDescent="0.3">
      <c r="A79" s="104" t="s">
        <v>142</v>
      </c>
      <c r="B79" s="104" t="s">
        <v>73</v>
      </c>
      <c r="C79" s="113"/>
      <c r="D79" s="113">
        <f>SUM(D80:D81)</f>
        <v>0</v>
      </c>
      <c r="E79" s="113">
        <f>SUM(E80:E81)</f>
        <v>0</v>
      </c>
      <c r="F79" s="123"/>
      <c r="G79" s="108">
        <v>0.81</v>
      </c>
      <c r="H79" s="137">
        <f>G79*D79</f>
        <v>0</v>
      </c>
      <c r="I79" s="147" t="s">
        <v>211</v>
      </c>
      <c r="J79" s="98"/>
      <c r="K79" s="98"/>
      <c r="L79" s="100"/>
      <c r="M79" s="100"/>
      <c r="N79" s="101"/>
      <c r="O79" s="98"/>
    </row>
    <row r="80" spans="1:21" ht="15.6" x14ac:dyDescent="0.3">
      <c r="A80" s="2">
        <v>1</v>
      </c>
      <c r="B80" s="66" t="s">
        <v>140</v>
      </c>
      <c r="C80" s="2">
        <v>30</v>
      </c>
      <c r="D80" s="8">
        <f>+E80*C80</f>
        <v>0</v>
      </c>
      <c r="E80" s="44"/>
      <c r="F80" s="204">
        <v>4780023326764</v>
      </c>
      <c r="G80" s="111"/>
      <c r="H80" s="137"/>
      <c r="I80" s="144">
        <v>3304200000</v>
      </c>
      <c r="J80" s="98"/>
      <c r="K80" s="98"/>
      <c r="L80" s="100"/>
      <c r="M80" s="100"/>
      <c r="N80" s="101"/>
      <c r="O80" s="98"/>
    </row>
    <row r="81" spans="1:15" ht="15.6" x14ac:dyDescent="0.3">
      <c r="A81" s="2">
        <v>2</v>
      </c>
      <c r="B81" s="66" t="s">
        <v>141</v>
      </c>
      <c r="C81" s="2">
        <v>30</v>
      </c>
      <c r="D81" s="8">
        <f>+E81*C81</f>
        <v>0</v>
      </c>
      <c r="E81" s="44"/>
      <c r="F81" s="204">
        <v>4780023326757</v>
      </c>
      <c r="G81" s="111"/>
      <c r="H81" s="137"/>
      <c r="I81" s="144">
        <v>3304200000</v>
      </c>
      <c r="J81" s="98"/>
      <c r="K81" s="98"/>
      <c r="L81" s="100"/>
      <c r="M81" s="100"/>
      <c r="N81" s="101"/>
      <c r="O81" s="98"/>
    </row>
    <row r="82" spans="1:15" ht="15.6" x14ac:dyDescent="0.3">
      <c r="A82" s="2"/>
      <c r="B82" s="66"/>
      <c r="C82" s="2"/>
      <c r="D82" s="8"/>
      <c r="E82" s="160"/>
      <c r="F82" s="119"/>
      <c r="G82" s="111"/>
      <c r="H82" s="137"/>
      <c r="I82" s="147" t="s">
        <v>211</v>
      </c>
      <c r="J82" s="98"/>
      <c r="K82" s="98"/>
      <c r="L82" s="100"/>
      <c r="M82" s="100"/>
      <c r="N82" s="101"/>
      <c r="O82" s="98"/>
    </row>
    <row r="83" spans="1:15" ht="22.8" x14ac:dyDescent="0.4">
      <c r="A83" s="2"/>
      <c r="B83" s="161" t="s">
        <v>196</v>
      </c>
      <c r="C83" s="2"/>
      <c r="D83" s="8"/>
      <c r="E83" s="160"/>
      <c r="F83" s="119"/>
      <c r="G83" s="111"/>
      <c r="H83" s="137"/>
      <c r="I83" s="147" t="s">
        <v>211</v>
      </c>
      <c r="J83" s="98"/>
      <c r="K83" s="98"/>
      <c r="L83" s="100"/>
      <c r="M83" s="100"/>
      <c r="N83" s="101"/>
      <c r="O83" s="98"/>
    </row>
    <row r="84" spans="1:15" ht="16.2" x14ac:dyDescent="0.3">
      <c r="A84" s="104" t="s">
        <v>142</v>
      </c>
      <c r="B84" s="104" t="s">
        <v>20</v>
      </c>
      <c r="C84" s="114"/>
      <c r="D84" s="113">
        <f>SUM(D85:D86)</f>
        <v>0</v>
      </c>
      <c r="E84" s="113">
        <f>SUM(E85:E86)</f>
        <v>0</v>
      </c>
      <c r="F84" s="123"/>
      <c r="G84" s="108"/>
      <c r="H84" s="137">
        <f>SUM(H85:H86)</f>
        <v>0</v>
      </c>
      <c r="I84" s="147" t="s">
        <v>211</v>
      </c>
      <c r="J84" s="98"/>
      <c r="K84" s="98"/>
      <c r="L84" s="100"/>
      <c r="M84" s="100"/>
      <c r="N84" s="101"/>
      <c r="O84" s="98"/>
    </row>
    <row r="85" spans="1:15" ht="31.2" x14ac:dyDescent="0.3">
      <c r="A85" s="2">
        <v>1</v>
      </c>
      <c r="B85" s="3" t="s">
        <v>143</v>
      </c>
      <c r="C85" s="2">
        <v>30</v>
      </c>
      <c r="D85" s="16">
        <f t="shared" ref="D85:D86" si="2">E85*C85</f>
        <v>0</v>
      </c>
      <c r="E85" s="39"/>
      <c r="F85" s="205">
        <v>4780023320649</v>
      </c>
      <c r="G85" s="112">
        <v>0.47</v>
      </c>
      <c r="H85" s="137">
        <f>G85*D85</f>
        <v>0</v>
      </c>
      <c r="I85" s="144">
        <v>3305900009</v>
      </c>
      <c r="J85" s="98"/>
      <c r="K85" s="98"/>
      <c r="L85" s="100"/>
      <c r="M85" s="100"/>
      <c r="N85" s="101"/>
      <c r="O85" s="98"/>
    </row>
    <row r="86" spans="1:15" ht="31.2" x14ac:dyDescent="0.3">
      <c r="A86" s="2">
        <v>2</v>
      </c>
      <c r="B86" s="162" t="s">
        <v>144</v>
      </c>
      <c r="C86" s="2">
        <v>20</v>
      </c>
      <c r="D86" s="16">
        <f t="shared" si="2"/>
        <v>0</v>
      </c>
      <c r="E86" s="39"/>
      <c r="F86" s="205">
        <v>4780023322902</v>
      </c>
      <c r="G86" s="112">
        <v>0.52</v>
      </c>
      <c r="H86" s="137">
        <f>G86*D86</f>
        <v>0</v>
      </c>
      <c r="I86" s="144">
        <v>3305900009</v>
      </c>
      <c r="J86" s="98"/>
      <c r="K86" s="98"/>
      <c r="L86" s="100"/>
      <c r="M86" s="100"/>
      <c r="N86" s="101"/>
      <c r="O86" s="98"/>
    </row>
    <row r="87" spans="1:15" ht="15.6" x14ac:dyDescent="0.3">
      <c r="A87" s="2"/>
      <c r="B87" s="162"/>
      <c r="C87" s="2"/>
      <c r="D87" s="16"/>
      <c r="E87" s="18"/>
      <c r="F87" s="120"/>
      <c r="G87" s="112"/>
      <c r="H87" s="137"/>
      <c r="I87" s="147" t="s">
        <v>211</v>
      </c>
      <c r="J87" s="98"/>
      <c r="K87" s="98"/>
      <c r="L87" s="100"/>
      <c r="M87" s="100"/>
      <c r="N87" s="101"/>
      <c r="O87" s="98"/>
    </row>
    <row r="88" spans="1:15" ht="24.6" x14ac:dyDescent="0.4">
      <c r="A88" s="2"/>
      <c r="B88" s="163" t="s">
        <v>197</v>
      </c>
      <c r="C88" s="2"/>
      <c r="D88" s="8"/>
      <c r="E88" s="160"/>
      <c r="F88" s="120"/>
      <c r="G88" s="112"/>
      <c r="H88" s="137"/>
      <c r="I88" s="147" t="s">
        <v>211</v>
      </c>
      <c r="J88" s="98"/>
      <c r="K88" s="98"/>
      <c r="L88" s="100"/>
      <c r="M88" s="100"/>
      <c r="N88" s="101"/>
      <c r="O88" s="98"/>
    </row>
    <row r="89" spans="1:15" ht="48.6" x14ac:dyDescent="0.3">
      <c r="A89" s="174"/>
      <c r="B89" s="106" t="s">
        <v>274</v>
      </c>
      <c r="C89" s="106"/>
      <c r="D89" s="117">
        <f>D91+D90</f>
        <v>0</v>
      </c>
      <c r="E89" s="106">
        <f>E90+E91</f>
        <v>0</v>
      </c>
      <c r="F89" s="121">
        <v>4780023327693</v>
      </c>
      <c r="G89" s="139">
        <v>0.19</v>
      </c>
      <c r="H89" s="136">
        <f>G89*D89</f>
        <v>0</v>
      </c>
      <c r="I89" s="144"/>
    </row>
    <row r="90" spans="1:15" ht="31.2" x14ac:dyDescent="0.3">
      <c r="A90" s="8">
        <v>1</v>
      </c>
      <c r="B90" s="176" t="s">
        <v>275</v>
      </c>
      <c r="C90" s="177">
        <v>180</v>
      </c>
      <c r="D90" s="178">
        <f>C90*E90</f>
        <v>0</v>
      </c>
      <c r="E90" s="176"/>
      <c r="F90" s="208">
        <v>4780023327693</v>
      </c>
      <c r="G90" s="112"/>
      <c r="H90" s="136"/>
      <c r="I90" s="144">
        <v>3305100000</v>
      </c>
    </row>
    <row r="91" spans="1:15" ht="31.2" x14ac:dyDescent="0.3">
      <c r="A91" s="8">
        <v>2</v>
      </c>
      <c r="B91" s="176" t="s">
        <v>276</v>
      </c>
      <c r="C91" s="177">
        <v>180</v>
      </c>
      <c r="D91" s="178">
        <f>C91*E91</f>
        <v>0</v>
      </c>
      <c r="E91" s="176"/>
      <c r="F91" s="208">
        <v>4780023329215</v>
      </c>
      <c r="G91" s="112"/>
      <c r="H91" s="136"/>
      <c r="I91" s="144">
        <v>3305100000</v>
      </c>
    </row>
    <row r="92" spans="1:15" ht="15.6" x14ac:dyDescent="0.3">
      <c r="A92" s="2"/>
      <c r="B92" s="179"/>
      <c r="C92" s="2"/>
      <c r="D92" s="16"/>
      <c r="E92" s="160"/>
      <c r="F92" s="120"/>
      <c r="G92" s="112"/>
      <c r="H92" s="136"/>
      <c r="I92" s="148" t="s">
        <v>211</v>
      </c>
    </row>
    <row r="93" spans="1:15" ht="32.4" x14ac:dyDescent="0.3">
      <c r="A93" s="174"/>
      <c r="B93" s="106" t="s">
        <v>162</v>
      </c>
      <c r="C93" s="106">
        <v>1200</v>
      </c>
      <c r="D93" s="117">
        <f>C93*E93</f>
        <v>0</v>
      </c>
      <c r="E93" s="175"/>
      <c r="F93" s="121">
        <v>4780016511108</v>
      </c>
      <c r="G93" s="190">
        <v>2.5000000000000001E-2</v>
      </c>
      <c r="H93" s="136">
        <f>G93*D93</f>
        <v>0</v>
      </c>
      <c r="I93" s="144">
        <v>3305100000</v>
      </c>
    </row>
    <row r="94" spans="1:15" ht="15.6" x14ac:dyDescent="0.3">
      <c r="A94" s="8"/>
      <c r="B94" s="176"/>
      <c r="C94" s="177"/>
      <c r="D94" s="178"/>
      <c r="E94" s="176"/>
      <c r="F94" s="169"/>
      <c r="G94" s="112"/>
      <c r="H94" s="136"/>
      <c r="I94" s="148" t="s">
        <v>211</v>
      </c>
    </row>
    <row r="95" spans="1:15" ht="16.2" x14ac:dyDescent="0.35">
      <c r="A95" s="40"/>
      <c r="B95" s="106" t="s">
        <v>405</v>
      </c>
      <c r="C95" s="40">
        <v>18</v>
      </c>
      <c r="D95" s="164">
        <f>+C95*E95</f>
        <v>0</v>
      </c>
      <c r="E95" s="165"/>
      <c r="F95" s="121">
        <v>4780016511092</v>
      </c>
      <c r="G95" s="139">
        <v>0.8</v>
      </c>
      <c r="H95" s="136">
        <f>G95*D95</f>
        <v>0</v>
      </c>
      <c r="I95" s="144">
        <v>3305100000</v>
      </c>
    </row>
    <row r="96" spans="1:15" ht="16.2" x14ac:dyDescent="0.35">
      <c r="A96" s="166"/>
      <c r="B96" s="167"/>
      <c r="C96" s="166"/>
      <c r="D96" s="168"/>
      <c r="E96" s="166"/>
      <c r="F96" s="169"/>
      <c r="G96" s="112"/>
      <c r="H96" s="136"/>
      <c r="I96" s="148" t="s">
        <v>211</v>
      </c>
    </row>
    <row r="97" spans="1:15" ht="16.2" x14ac:dyDescent="0.35">
      <c r="A97" s="5" t="s">
        <v>142</v>
      </c>
      <c r="B97" s="104" t="s">
        <v>187</v>
      </c>
      <c r="C97" s="113"/>
      <c r="D97" s="113">
        <f>SUM(D98:D102)</f>
        <v>0</v>
      </c>
      <c r="E97" s="113">
        <f>SUM(E98:E102)</f>
        <v>0</v>
      </c>
      <c r="F97" s="123"/>
      <c r="G97" s="139">
        <v>1.59</v>
      </c>
      <c r="H97" s="137">
        <f>G97*D97</f>
        <v>0</v>
      </c>
      <c r="I97" s="147" t="s">
        <v>211</v>
      </c>
      <c r="J97" s="98"/>
      <c r="K97" s="98"/>
      <c r="L97" s="100"/>
      <c r="M97" s="100"/>
      <c r="N97" s="101"/>
      <c r="O97" s="98"/>
    </row>
    <row r="98" spans="1:15" ht="31.2" x14ac:dyDescent="0.3">
      <c r="A98" s="2">
        <v>1</v>
      </c>
      <c r="B98" s="3" t="s">
        <v>145</v>
      </c>
      <c r="C98" s="2">
        <v>8</v>
      </c>
      <c r="D98" s="8">
        <f>E98*C98</f>
        <v>0</v>
      </c>
      <c r="E98" s="39"/>
      <c r="F98" s="205">
        <v>4780023323398</v>
      </c>
      <c r="G98" s="112"/>
      <c r="H98" s="137"/>
      <c r="I98" s="144">
        <v>3305100000</v>
      </c>
      <c r="J98" s="98"/>
      <c r="K98" s="98"/>
      <c r="L98" s="100"/>
      <c r="M98" s="100"/>
      <c r="N98" s="101"/>
      <c r="O98" s="98"/>
    </row>
    <row r="99" spans="1:15" ht="31.2" x14ac:dyDescent="0.3">
      <c r="A99" s="2">
        <v>2</v>
      </c>
      <c r="B99" s="3" t="s">
        <v>146</v>
      </c>
      <c r="C99" s="2">
        <v>8</v>
      </c>
      <c r="D99" s="8">
        <f>E99*C99</f>
        <v>0</v>
      </c>
      <c r="E99" s="39"/>
      <c r="F99" s="205">
        <v>4780023323381</v>
      </c>
      <c r="G99" s="112"/>
      <c r="H99" s="137"/>
      <c r="I99" s="144">
        <v>3305100000</v>
      </c>
      <c r="J99" s="98"/>
      <c r="K99" s="98"/>
      <c r="L99" s="100"/>
      <c r="M99" s="100"/>
      <c r="N99" s="101"/>
      <c r="O99" s="98"/>
    </row>
    <row r="100" spans="1:15" ht="31.2" x14ac:dyDescent="0.3">
      <c r="A100" s="2">
        <v>3</v>
      </c>
      <c r="B100" s="3" t="s">
        <v>147</v>
      </c>
      <c r="C100" s="2">
        <v>8</v>
      </c>
      <c r="D100" s="8">
        <f>E100*C100</f>
        <v>0</v>
      </c>
      <c r="E100" s="39"/>
      <c r="F100" s="205">
        <v>4780023323404</v>
      </c>
      <c r="G100" s="112"/>
      <c r="H100" s="137"/>
      <c r="I100" s="144">
        <v>3305100000</v>
      </c>
      <c r="J100" s="98"/>
      <c r="K100" s="98"/>
      <c r="L100" s="100"/>
      <c r="M100" s="100"/>
      <c r="N100" s="101"/>
      <c r="O100" s="98"/>
    </row>
    <row r="101" spans="1:15" ht="31.2" x14ac:dyDescent="0.3">
      <c r="A101" s="2">
        <v>4</v>
      </c>
      <c r="B101" s="3" t="s">
        <v>292</v>
      </c>
      <c r="C101" s="2">
        <v>8</v>
      </c>
      <c r="D101" s="8">
        <f>E101*C101</f>
        <v>0</v>
      </c>
      <c r="E101" s="39"/>
      <c r="F101" s="205">
        <v>4780023325651</v>
      </c>
      <c r="G101" s="112"/>
      <c r="H101" s="137"/>
      <c r="I101" s="144">
        <v>3305100000</v>
      </c>
      <c r="J101" s="98"/>
      <c r="K101" s="98"/>
      <c r="L101" s="100"/>
      <c r="M101" s="100"/>
      <c r="N101" s="101"/>
      <c r="O101" s="98"/>
    </row>
    <row r="102" spans="1:15" ht="31.2" x14ac:dyDescent="0.3">
      <c r="A102" s="2">
        <v>5</v>
      </c>
      <c r="B102" s="3" t="s">
        <v>293</v>
      </c>
      <c r="C102" s="2">
        <v>8</v>
      </c>
      <c r="D102" s="8">
        <f>E102*C102</f>
        <v>0</v>
      </c>
      <c r="E102" s="39"/>
      <c r="F102" s="205">
        <v>4780023325668</v>
      </c>
      <c r="G102" s="112"/>
      <c r="H102" s="137"/>
      <c r="I102" s="144">
        <v>3305100000</v>
      </c>
      <c r="J102" s="98"/>
      <c r="K102" s="98"/>
      <c r="L102" s="100"/>
      <c r="M102" s="100"/>
      <c r="N102" s="101"/>
      <c r="O102" s="98"/>
    </row>
    <row r="103" spans="1:15" ht="15.6" x14ac:dyDescent="0.3">
      <c r="A103" s="2"/>
      <c r="B103" s="3"/>
      <c r="C103" s="2"/>
      <c r="D103" s="8"/>
      <c r="E103" s="176"/>
      <c r="F103" s="205"/>
      <c r="G103" s="112"/>
      <c r="H103" s="137"/>
      <c r="I103" s="144"/>
      <c r="J103" s="98"/>
      <c r="K103" s="98"/>
      <c r="L103" s="100"/>
      <c r="M103" s="100"/>
      <c r="N103" s="101"/>
      <c r="O103" s="98"/>
    </row>
    <row r="104" spans="1:15" ht="16.2" x14ac:dyDescent="0.3">
      <c r="A104" s="104" t="s">
        <v>142</v>
      </c>
      <c r="B104" s="104" t="s">
        <v>188</v>
      </c>
      <c r="C104" s="113"/>
      <c r="D104" s="113">
        <f>SUM(D105)</f>
        <v>0</v>
      </c>
      <c r="E104" s="113">
        <f>SUM(E105)</f>
        <v>0</v>
      </c>
      <c r="F104" s="121"/>
      <c r="G104" s="139">
        <v>1.65</v>
      </c>
      <c r="H104" s="137">
        <f>G104*D104</f>
        <v>0</v>
      </c>
      <c r="I104" s="147" t="s">
        <v>211</v>
      </c>
      <c r="J104" s="98"/>
      <c r="K104" s="98"/>
      <c r="L104" s="100"/>
      <c r="M104" s="100"/>
      <c r="N104" s="101"/>
      <c r="O104" s="98"/>
    </row>
    <row r="105" spans="1:15" ht="31.2" x14ac:dyDescent="0.3">
      <c r="A105" s="2">
        <v>1</v>
      </c>
      <c r="B105" s="69" t="s">
        <v>161</v>
      </c>
      <c r="C105" s="2">
        <v>8</v>
      </c>
      <c r="D105" s="8">
        <f>E105*C105</f>
        <v>0</v>
      </c>
      <c r="E105" s="39"/>
      <c r="F105" s="205">
        <v>4780023326429</v>
      </c>
      <c r="G105" s="112"/>
      <c r="H105" s="137"/>
      <c r="I105" s="144">
        <v>3305900009</v>
      </c>
      <c r="J105" s="98"/>
      <c r="K105" s="98"/>
      <c r="L105" s="100"/>
      <c r="M105" s="100"/>
      <c r="N105" s="101"/>
      <c r="O105" s="98"/>
    </row>
    <row r="106" spans="1:15" ht="15.6" x14ac:dyDescent="0.3">
      <c r="A106" s="2"/>
      <c r="B106" s="69"/>
      <c r="C106" s="2"/>
      <c r="D106" s="8"/>
      <c r="E106" s="176"/>
      <c r="F106" s="205"/>
      <c r="G106" s="112"/>
      <c r="H106" s="137"/>
      <c r="I106" s="144"/>
      <c r="J106" s="98"/>
      <c r="K106" s="98"/>
      <c r="L106" s="100"/>
      <c r="M106" s="100"/>
      <c r="N106" s="101"/>
      <c r="O106" s="98"/>
    </row>
    <row r="107" spans="1:15" ht="32.4" x14ac:dyDescent="0.35">
      <c r="A107" s="5" t="s">
        <v>142</v>
      </c>
      <c r="B107" s="104" t="s">
        <v>382</v>
      </c>
      <c r="C107" s="113"/>
      <c r="D107" s="113">
        <f>SUM(D108:D111)</f>
        <v>0</v>
      </c>
      <c r="E107" s="113">
        <f>SUM(E108:E111)</f>
        <v>0</v>
      </c>
      <c r="F107" s="123"/>
      <c r="G107" s="139">
        <v>1.59</v>
      </c>
      <c r="H107" s="137">
        <f>G107*D107</f>
        <v>0</v>
      </c>
      <c r="I107" s="147" t="s">
        <v>211</v>
      </c>
      <c r="J107" s="98"/>
      <c r="K107" s="98"/>
      <c r="L107" s="100"/>
      <c r="M107" s="100"/>
      <c r="N107" s="101"/>
      <c r="O107" s="98"/>
    </row>
    <row r="108" spans="1:15" ht="31.2" x14ac:dyDescent="0.3">
      <c r="A108" s="2">
        <v>1</v>
      </c>
      <c r="B108" s="3" t="s">
        <v>384</v>
      </c>
      <c r="C108" s="2">
        <v>8</v>
      </c>
      <c r="D108" s="8">
        <f>E108*C108</f>
        <v>0</v>
      </c>
      <c r="E108" s="39"/>
      <c r="F108" s="205">
        <v>4780141191329</v>
      </c>
      <c r="G108" s="112"/>
      <c r="H108" s="137"/>
      <c r="I108" s="144">
        <v>3305100000</v>
      </c>
      <c r="J108" s="98"/>
      <c r="K108" s="98"/>
      <c r="L108" s="100"/>
      <c r="M108" s="100"/>
      <c r="N108" s="101"/>
      <c r="O108" s="98"/>
    </row>
    <row r="109" spans="1:15" ht="31.2" x14ac:dyDescent="0.3">
      <c r="A109" s="2">
        <v>2</v>
      </c>
      <c r="B109" s="3" t="s">
        <v>383</v>
      </c>
      <c r="C109" s="2">
        <v>8</v>
      </c>
      <c r="D109" s="8">
        <f>E109*C109</f>
        <v>0</v>
      </c>
      <c r="E109" s="39"/>
      <c r="F109" s="205">
        <v>4780141191336</v>
      </c>
      <c r="G109" s="112"/>
      <c r="H109" s="137"/>
      <c r="I109" s="144">
        <v>3305100000</v>
      </c>
      <c r="J109" s="98"/>
      <c r="K109" s="98"/>
      <c r="L109" s="100"/>
      <c r="M109" s="100"/>
      <c r="N109" s="101"/>
      <c r="O109" s="98"/>
    </row>
    <row r="110" spans="1:15" ht="31.2" x14ac:dyDescent="0.3">
      <c r="A110" s="2">
        <v>3</v>
      </c>
      <c r="B110" s="3" t="s">
        <v>404</v>
      </c>
      <c r="C110" s="2">
        <v>8</v>
      </c>
      <c r="D110" s="8">
        <f>E110*C110</f>
        <v>0</v>
      </c>
      <c r="E110" s="39"/>
      <c r="F110" s="205">
        <v>4780141191312</v>
      </c>
      <c r="G110" s="112"/>
      <c r="H110" s="137"/>
      <c r="I110" s="144">
        <v>3305100000</v>
      </c>
      <c r="J110" s="98"/>
      <c r="K110" s="98"/>
      <c r="L110" s="100"/>
      <c r="M110" s="100"/>
      <c r="N110" s="101"/>
      <c r="O110" s="98"/>
    </row>
    <row r="111" spans="1:15" ht="15.6" x14ac:dyDescent="0.3">
      <c r="A111" s="158"/>
      <c r="B111" s="69"/>
      <c r="C111" s="2"/>
      <c r="D111" s="8"/>
      <c r="E111" s="18"/>
      <c r="F111" s="120"/>
      <c r="G111" s="112"/>
      <c r="H111" s="137"/>
      <c r="I111" s="147" t="s">
        <v>211</v>
      </c>
      <c r="J111" s="98"/>
      <c r="K111" s="98"/>
      <c r="L111" s="100"/>
      <c r="M111" s="100"/>
      <c r="N111" s="101"/>
      <c r="O111" s="98"/>
    </row>
    <row r="112" spans="1:15" ht="16.2" x14ac:dyDescent="0.3">
      <c r="A112" s="104" t="s">
        <v>142</v>
      </c>
      <c r="B112" s="104" t="s">
        <v>79</v>
      </c>
      <c r="C112" s="113"/>
      <c r="D112" s="113">
        <f>SUM(D113:D118)</f>
        <v>0</v>
      </c>
      <c r="E112" s="113">
        <f>SUM(E113:E118)</f>
        <v>0</v>
      </c>
      <c r="F112" s="123"/>
      <c r="G112" s="139">
        <v>0.76</v>
      </c>
      <c r="H112" s="136">
        <f>G112*D112</f>
        <v>0</v>
      </c>
      <c r="I112" s="148" t="s">
        <v>211</v>
      </c>
    </row>
    <row r="113" spans="1:9" ht="31.2" x14ac:dyDescent="0.3">
      <c r="A113" s="2">
        <v>1</v>
      </c>
      <c r="B113" s="3" t="s">
        <v>385</v>
      </c>
      <c r="C113" s="2">
        <v>18</v>
      </c>
      <c r="D113" s="16">
        <f>E113*C113</f>
        <v>0</v>
      </c>
      <c r="E113" s="39"/>
      <c r="F113" s="205">
        <v>4780141191237</v>
      </c>
      <c r="G113" s="112"/>
      <c r="H113" s="136"/>
      <c r="I113" s="144">
        <v>3305100000</v>
      </c>
    </row>
    <row r="114" spans="1:9" ht="31.2" x14ac:dyDescent="0.3">
      <c r="A114" s="2">
        <v>2</v>
      </c>
      <c r="B114" s="3" t="s">
        <v>386</v>
      </c>
      <c r="C114" s="2">
        <v>18</v>
      </c>
      <c r="D114" s="16">
        <f>E114*C114</f>
        <v>0</v>
      </c>
      <c r="E114" s="39"/>
      <c r="F114" s="205">
        <v>4780141191220</v>
      </c>
      <c r="G114" s="112"/>
      <c r="H114" s="136"/>
      <c r="I114" s="144">
        <v>3305100000</v>
      </c>
    </row>
    <row r="115" spans="1:9" ht="31.2" x14ac:dyDescent="0.3">
      <c r="A115" s="2">
        <v>3</v>
      </c>
      <c r="B115" s="3" t="s">
        <v>387</v>
      </c>
      <c r="C115" s="2">
        <v>18</v>
      </c>
      <c r="D115" s="16">
        <f>E115*C115</f>
        <v>0</v>
      </c>
      <c r="E115" s="39"/>
      <c r="F115" s="205">
        <v>4780141191275</v>
      </c>
      <c r="G115" s="112"/>
      <c r="H115" s="136"/>
      <c r="I115" s="144">
        <v>3305100000</v>
      </c>
    </row>
    <row r="116" spans="1:9" ht="31.2" x14ac:dyDescent="0.3">
      <c r="A116" s="2">
        <v>4</v>
      </c>
      <c r="B116" s="3" t="s">
        <v>388</v>
      </c>
      <c r="C116" s="2">
        <v>18</v>
      </c>
      <c r="D116" s="16">
        <f>E116*C116</f>
        <v>0</v>
      </c>
      <c r="E116" s="39"/>
      <c r="F116" s="205">
        <v>4780141191244</v>
      </c>
      <c r="G116" s="112"/>
      <c r="H116" s="136"/>
      <c r="I116" s="144">
        <v>3305100000</v>
      </c>
    </row>
    <row r="117" spans="1:9" ht="31.2" x14ac:dyDescent="0.3">
      <c r="A117" s="2">
        <v>5</v>
      </c>
      <c r="B117" s="65" t="s">
        <v>389</v>
      </c>
      <c r="C117" s="2">
        <v>18</v>
      </c>
      <c r="D117" s="16">
        <f>C117*E117</f>
        <v>0</v>
      </c>
      <c r="E117" s="44"/>
      <c r="F117" s="205">
        <v>4780141191268</v>
      </c>
      <c r="G117" s="112"/>
      <c r="H117" s="136"/>
      <c r="I117" s="144">
        <v>3305100000</v>
      </c>
    </row>
    <row r="118" spans="1:9" ht="31.2" x14ac:dyDescent="0.3">
      <c r="A118" s="2">
        <v>6</v>
      </c>
      <c r="B118" s="66" t="s">
        <v>390</v>
      </c>
      <c r="C118" s="2">
        <v>18</v>
      </c>
      <c r="D118" s="16">
        <f>C118*E118</f>
        <v>0</v>
      </c>
      <c r="E118" s="44"/>
      <c r="F118" s="205">
        <v>4780141191251</v>
      </c>
      <c r="G118" s="112"/>
      <c r="H118" s="136"/>
      <c r="I118" s="144">
        <v>3305100000</v>
      </c>
    </row>
    <row r="119" spans="1:9" ht="15.6" x14ac:dyDescent="0.3">
      <c r="A119" s="2"/>
      <c r="B119" s="66"/>
      <c r="C119" s="2"/>
      <c r="D119" s="16"/>
      <c r="E119" s="176"/>
      <c r="F119" s="211"/>
      <c r="G119" s="112"/>
      <c r="H119" s="136"/>
      <c r="I119" s="144"/>
    </row>
    <row r="120" spans="1:9" ht="32.4" x14ac:dyDescent="0.3">
      <c r="A120" s="104" t="s">
        <v>142</v>
      </c>
      <c r="B120" s="104" t="s">
        <v>287</v>
      </c>
      <c r="C120" s="116"/>
      <c r="D120" s="113">
        <f>SUM(D121:D124)</f>
        <v>0</v>
      </c>
      <c r="E120" s="113">
        <f>SUM(E121:E124)</f>
        <v>0</v>
      </c>
      <c r="F120" s="123"/>
      <c r="G120" s="139">
        <v>0.47</v>
      </c>
      <c r="H120" s="136">
        <f>G120*D120</f>
        <v>0</v>
      </c>
      <c r="I120" s="148" t="s">
        <v>211</v>
      </c>
    </row>
    <row r="121" spans="1:9" ht="18" customHeight="1" x14ac:dyDescent="0.3">
      <c r="A121" s="2">
        <v>1</v>
      </c>
      <c r="B121" s="201" t="s">
        <v>300</v>
      </c>
      <c r="C121" s="2">
        <v>20</v>
      </c>
      <c r="D121" s="16">
        <f t="shared" ref="D121:D123" si="3">C121*E121</f>
        <v>0</v>
      </c>
      <c r="E121" s="44"/>
      <c r="F121" s="205">
        <v>4780141190490</v>
      </c>
      <c r="G121" s="112"/>
      <c r="H121" s="136"/>
      <c r="I121" s="144">
        <v>3305900009</v>
      </c>
    </row>
    <row r="122" spans="1:9" ht="15.6" x14ac:dyDescent="0.3">
      <c r="A122" s="2">
        <v>2</v>
      </c>
      <c r="B122" s="67" t="s">
        <v>301</v>
      </c>
      <c r="C122" s="2">
        <v>20</v>
      </c>
      <c r="D122" s="16">
        <f t="shared" si="3"/>
        <v>0</v>
      </c>
      <c r="E122" s="44"/>
      <c r="F122" s="205">
        <v>4780141190513</v>
      </c>
      <c r="G122" s="112"/>
      <c r="H122" s="136"/>
      <c r="I122" s="144">
        <v>3305900009</v>
      </c>
    </row>
    <row r="123" spans="1:9" ht="15.6" x14ac:dyDescent="0.3">
      <c r="A123" s="2">
        <v>3</v>
      </c>
      <c r="B123" s="67" t="s">
        <v>302</v>
      </c>
      <c r="C123" s="2">
        <v>20</v>
      </c>
      <c r="D123" s="16">
        <f t="shared" si="3"/>
        <v>0</v>
      </c>
      <c r="E123" s="44"/>
      <c r="F123" s="205">
        <v>4780141190506</v>
      </c>
      <c r="G123" s="112"/>
      <c r="H123" s="136"/>
      <c r="I123" s="144">
        <v>3305900009</v>
      </c>
    </row>
    <row r="124" spans="1:9" ht="15.6" x14ac:dyDescent="0.3">
      <c r="A124" s="2">
        <v>4</v>
      </c>
      <c r="B124" s="179" t="s">
        <v>303</v>
      </c>
      <c r="C124" s="2">
        <v>20</v>
      </c>
      <c r="D124" s="16">
        <f>C124*E124</f>
        <v>0</v>
      </c>
      <c r="E124" s="44"/>
      <c r="F124" s="205">
        <v>4780141190520</v>
      </c>
      <c r="G124" s="112"/>
      <c r="H124" s="136"/>
      <c r="I124" s="144">
        <v>3305900009</v>
      </c>
    </row>
    <row r="125" spans="1:9" ht="15.6" x14ac:dyDescent="0.3">
      <c r="A125" s="2"/>
      <c r="B125" s="179"/>
      <c r="C125" s="2"/>
      <c r="D125" s="16"/>
      <c r="E125" s="176"/>
      <c r="F125" s="205"/>
      <c r="G125" s="112"/>
      <c r="H125" s="136"/>
      <c r="I125" s="144"/>
    </row>
    <row r="126" spans="1:9" ht="32.4" x14ac:dyDescent="0.3">
      <c r="A126" s="104" t="s">
        <v>142</v>
      </c>
      <c r="B126" s="104" t="s">
        <v>216</v>
      </c>
      <c r="C126" s="116"/>
      <c r="D126" s="113">
        <f>SUM(D127:D132)</f>
        <v>0</v>
      </c>
      <c r="E126" s="113">
        <f>SUM(E127:E132)</f>
        <v>0</v>
      </c>
      <c r="F126" s="123"/>
      <c r="G126" s="139">
        <v>0.83</v>
      </c>
      <c r="H126" s="136">
        <f>G126*D126</f>
        <v>0</v>
      </c>
      <c r="I126" s="148" t="s">
        <v>211</v>
      </c>
    </row>
    <row r="127" spans="1:9" ht="46.8" x14ac:dyDescent="0.3">
      <c r="A127" s="2">
        <v>1</v>
      </c>
      <c r="B127" s="3" t="s">
        <v>298</v>
      </c>
      <c r="C127" s="2">
        <v>18</v>
      </c>
      <c r="D127" s="16">
        <f t="shared" ref="D127:D131" si="4">C127*E127</f>
        <v>0</v>
      </c>
      <c r="E127" s="44"/>
      <c r="F127" s="205">
        <v>4780023321363</v>
      </c>
      <c r="G127" s="112"/>
      <c r="H127" s="136"/>
      <c r="I127" s="144">
        <v>3305900009</v>
      </c>
    </row>
    <row r="128" spans="1:9" ht="31.2" x14ac:dyDescent="0.3">
      <c r="A128" s="2">
        <v>2</v>
      </c>
      <c r="B128" s="67" t="s">
        <v>299</v>
      </c>
      <c r="C128" s="2">
        <v>18</v>
      </c>
      <c r="D128" s="16">
        <f t="shared" si="4"/>
        <v>0</v>
      </c>
      <c r="E128" s="44"/>
      <c r="F128" s="205">
        <v>4780023321370</v>
      </c>
      <c r="G128" s="112"/>
      <c r="H128" s="136"/>
      <c r="I128" s="144">
        <v>3305900009</v>
      </c>
    </row>
    <row r="129" spans="1:15" ht="46.8" x14ac:dyDescent="0.3">
      <c r="A129" s="2">
        <v>3</v>
      </c>
      <c r="B129" s="67" t="s">
        <v>294</v>
      </c>
      <c r="C129" s="2">
        <v>18</v>
      </c>
      <c r="D129" s="16">
        <f t="shared" si="4"/>
        <v>0</v>
      </c>
      <c r="E129" s="44"/>
      <c r="F129" s="205">
        <v>4780023321387</v>
      </c>
      <c r="G129" s="112"/>
      <c r="H129" s="136"/>
      <c r="I129" s="144">
        <v>3305900009</v>
      </c>
    </row>
    <row r="130" spans="1:15" ht="46.8" x14ac:dyDescent="0.3">
      <c r="A130" s="2">
        <v>4</v>
      </c>
      <c r="B130" s="67" t="s">
        <v>297</v>
      </c>
      <c r="C130" s="2">
        <v>18</v>
      </c>
      <c r="D130" s="16">
        <f t="shared" si="4"/>
        <v>0</v>
      </c>
      <c r="E130" s="44"/>
      <c r="F130" s="205">
        <v>4780023321394</v>
      </c>
      <c r="G130" s="112"/>
      <c r="H130" s="136"/>
      <c r="I130" s="144">
        <v>3305900009</v>
      </c>
    </row>
    <row r="131" spans="1:15" ht="31.2" x14ac:dyDescent="0.3">
      <c r="A131" s="2">
        <v>5</v>
      </c>
      <c r="B131" s="67" t="s">
        <v>295</v>
      </c>
      <c r="C131" s="2">
        <v>18</v>
      </c>
      <c r="D131" s="16">
        <f t="shared" si="4"/>
        <v>0</v>
      </c>
      <c r="E131" s="44"/>
      <c r="F131" s="205">
        <v>4780023321400</v>
      </c>
      <c r="G131" s="112"/>
      <c r="H131" s="136"/>
      <c r="I131" s="144">
        <v>3305900009</v>
      </c>
    </row>
    <row r="132" spans="1:15" ht="46.8" x14ac:dyDescent="0.3">
      <c r="A132" s="2">
        <v>6</v>
      </c>
      <c r="B132" s="179" t="s">
        <v>296</v>
      </c>
      <c r="C132" s="2">
        <v>18</v>
      </c>
      <c r="D132" s="16">
        <f>C132*E132</f>
        <v>0</v>
      </c>
      <c r="E132" s="44"/>
      <c r="F132" s="205">
        <v>4780023321417</v>
      </c>
      <c r="G132" s="112"/>
      <c r="H132" s="136"/>
      <c r="I132" s="144">
        <v>3305900009</v>
      </c>
    </row>
    <row r="133" spans="1:15" ht="15.6" x14ac:dyDescent="0.3">
      <c r="A133" s="2"/>
      <c r="B133" s="66"/>
      <c r="C133" s="2"/>
      <c r="D133" s="16"/>
      <c r="E133" s="160"/>
      <c r="F133" s="119"/>
      <c r="G133" s="112"/>
      <c r="H133" s="136"/>
      <c r="I133" s="148" t="s">
        <v>211</v>
      </c>
    </row>
    <row r="134" spans="1:15" ht="16.2" x14ac:dyDescent="0.3">
      <c r="A134" s="105" t="s">
        <v>76</v>
      </c>
      <c r="B134" s="104" t="s">
        <v>251</v>
      </c>
      <c r="C134" s="116"/>
      <c r="D134" s="113">
        <f>SUM(D135:D138)</f>
        <v>0</v>
      </c>
      <c r="E134" s="113">
        <f>SUM(E135:E138)</f>
        <v>0</v>
      </c>
      <c r="F134" s="123"/>
      <c r="G134" s="108">
        <v>1.72</v>
      </c>
      <c r="H134" s="137">
        <f>G134*D134</f>
        <v>0</v>
      </c>
      <c r="I134" s="147" t="s">
        <v>211</v>
      </c>
      <c r="J134" s="98"/>
      <c r="K134" s="98"/>
      <c r="L134" s="100"/>
      <c r="M134" s="100"/>
      <c r="N134" s="101"/>
      <c r="O134" s="98"/>
    </row>
    <row r="135" spans="1:15" ht="15.6" x14ac:dyDescent="0.3">
      <c r="A135" s="2">
        <v>1</v>
      </c>
      <c r="B135" s="65" t="s">
        <v>252</v>
      </c>
      <c r="C135" s="2">
        <v>8</v>
      </c>
      <c r="D135" s="16">
        <f>C135*E135</f>
        <v>0</v>
      </c>
      <c r="E135" s="44"/>
      <c r="F135" s="205">
        <v>4780023326375</v>
      </c>
      <c r="G135" s="111"/>
      <c r="H135" s="137"/>
      <c r="I135" s="144">
        <v>3305100000</v>
      </c>
      <c r="J135" s="98"/>
      <c r="K135" s="98"/>
      <c r="L135" s="100"/>
      <c r="M135" s="100"/>
      <c r="N135" s="101"/>
      <c r="O135" s="98"/>
    </row>
    <row r="136" spans="1:15" ht="15.6" x14ac:dyDescent="0.3">
      <c r="A136" s="2">
        <v>2</v>
      </c>
      <c r="B136" s="66" t="s">
        <v>253</v>
      </c>
      <c r="C136" s="2">
        <v>8</v>
      </c>
      <c r="D136" s="16">
        <f>C136*E136</f>
        <v>0</v>
      </c>
      <c r="E136" s="44"/>
      <c r="F136" s="205">
        <v>4780023326382</v>
      </c>
      <c r="G136" s="111"/>
      <c r="H136" s="137"/>
      <c r="I136" s="144">
        <v>3305100000</v>
      </c>
      <c r="J136" s="98"/>
      <c r="K136" s="98"/>
      <c r="L136" s="100"/>
      <c r="M136" s="100"/>
      <c r="N136" s="101"/>
      <c r="O136" s="98"/>
    </row>
    <row r="137" spans="1:15" ht="15.6" x14ac:dyDescent="0.3">
      <c r="A137" s="2">
        <v>3</v>
      </c>
      <c r="B137" s="66" t="s">
        <v>254</v>
      </c>
      <c r="C137" s="2">
        <v>8</v>
      </c>
      <c r="D137" s="16">
        <f>C137*E137</f>
        <v>0</v>
      </c>
      <c r="E137" s="44"/>
      <c r="F137" s="205">
        <v>4780023326368</v>
      </c>
      <c r="G137" s="111"/>
      <c r="H137" s="137"/>
      <c r="I137" s="144">
        <v>3305100000</v>
      </c>
      <c r="J137" s="98"/>
      <c r="K137" s="98"/>
      <c r="L137" s="100"/>
      <c r="M137" s="100"/>
      <c r="N137" s="101"/>
      <c r="O137" s="98"/>
    </row>
    <row r="138" spans="1:15" ht="31.2" x14ac:dyDescent="0.3">
      <c r="A138" s="2">
        <v>4</v>
      </c>
      <c r="B138" s="67" t="s">
        <v>255</v>
      </c>
      <c r="C138" s="2">
        <v>8</v>
      </c>
      <c r="D138" s="16">
        <f>C138*E138</f>
        <v>0</v>
      </c>
      <c r="E138" s="44"/>
      <c r="F138" s="205">
        <v>4780023326528</v>
      </c>
      <c r="G138" s="111"/>
      <c r="H138" s="137"/>
      <c r="I138" s="144">
        <v>3305100000</v>
      </c>
      <c r="J138" s="98"/>
      <c r="K138" s="98"/>
      <c r="L138" s="100"/>
      <c r="M138" s="100"/>
      <c r="N138" s="101"/>
      <c r="O138" s="98"/>
    </row>
    <row r="139" spans="1:15" ht="15.6" x14ac:dyDescent="0.3">
      <c r="A139" s="2"/>
      <c r="B139" s="67"/>
      <c r="C139" s="2"/>
      <c r="D139" s="16"/>
      <c r="E139" s="176"/>
      <c r="F139" s="205"/>
      <c r="G139" s="111"/>
      <c r="H139" s="137"/>
      <c r="I139" s="144"/>
      <c r="J139" s="98"/>
      <c r="K139" s="98"/>
      <c r="L139" s="100"/>
      <c r="M139" s="100"/>
      <c r="N139" s="101"/>
      <c r="O139" s="98"/>
    </row>
    <row r="140" spans="1:15" ht="32.4" x14ac:dyDescent="0.3">
      <c r="A140" s="105" t="s">
        <v>76</v>
      </c>
      <c r="B140" s="104" t="s">
        <v>148</v>
      </c>
      <c r="C140" s="116"/>
      <c r="D140" s="113">
        <f>SUM(D141:D144)</f>
        <v>0</v>
      </c>
      <c r="E140" s="113">
        <f>SUM(E141:E144)</f>
        <v>0</v>
      </c>
      <c r="F140" s="123"/>
      <c r="G140" s="108">
        <v>0.85</v>
      </c>
      <c r="H140" s="137">
        <f>G140*D140</f>
        <v>0</v>
      </c>
      <c r="I140" s="147" t="s">
        <v>211</v>
      </c>
      <c r="J140" s="98"/>
      <c r="K140" s="98"/>
      <c r="L140" s="100"/>
      <c r="M140" s="100"/>
      <c r="N140" s="101"/>
      <c r="O140" s="98"/>
    </row>
    <row r="141" spans="1:15" ht="15.6" x14ac:dyDescent="0.3">
      <c r="A141" s="2">
        <v>1</v>
      </c>
      <c r="B141" s="65" t="s">
        <v>41</v>
      </c>
      <c r="C141" s="2">
        <v>18</v>
      </c>
      <c r="D141" s="16">
        <f>C141*E141</f>
        <v>0</v>
      </c>
      <c r="E141" s="44"/>
      <c r="F141" s="205">
        <v>4780023326405</v>
      </c>
      <c r="G141" s="111"/>
      <c r="H141" s="137"/>
      <c r="I141" s="144">
        <v>3305900009</v>
      </c>
      <c r="J141" s="98"/>
      <c r="K141" s="98"/>
      <c r="L141" s="100"/>
      <c r="M141" s="100"/>
      <c r="N141" s="101"/>
      <c r="O141" s="98"/>
    </row>
    <row r="142" spans="1:15" ht="15.6" x14ac:dyDescent="0.3">
      <c r="A142" s="2">
        <v>2</v>
      </c>
      <c r="B142" s="66" t="s">
        <v>42</v>
      </c>
      <c r="C142" s="2">
        <v>18</v>
      </c>
      <c r="D142" s="16">
        <f>C142*E142</f>
        <v>0</v>
      </c>
      <c r="E142" s="44"/>
      <c r="F142" s="205">
        <v>4780023326412</v>
      </c>
      <c r="G142" s="111"/>
      <c r="H142" s="137"/>
      <c r="I142" s="144">
        <v>3305900009</v>
      </c>
      <c r="J142" s="98"/>
      <c r="K142" s="98"/>
      <c r="L142" s="100"/>
      <c r="M142" s="100"/>
      <c r="N142" s="101"/>
      <c r="O142" s="98"/>
    </row>
    <row r="143" spans="1:15" ht="15.6" x14ac:dyDescent="0.3">
      <c r="A143" s="2">
        <v>3</v>
      </c>
      <c r="B143" s="66" t="s">
        <v>43</v>
      </c>
      <c r="C143" s="2">
        <v>18</v>
      </c>
      <c r="D143" s="16">
        <f>C143*E143</f>
        <v>0</v>
      </c>
      <c r="E143" s="44"/>
      <c r="F143" s="205">
        <v>4780023326399</v>
      </c>
      <c r="G143" s="111"/>
      <c r="H143" s="137"/>
      <c r="I143" s="144">
        <v>3305900009</v>
      </c>
      <c r="J143" s="98"/>
      <c r="K143" s="98"/>
      <c r="L143" s="100"/>
      <c r="M143" s="100"/>
      <c r="N143" s="101"/>
      <c r="O143" s="98"/>
    </row>
    <row r="144" spans="1:15" ht="31.2" x14ac:dyDescent="0.3">
      <c r="A144" s="2">
        <v>4</v>
      </c>
      <c r="B144" s="67" t="s">
        <v>149</v>
      </c>
      <c r="C144" s="2">
        <v>18</v>
      </c>
      <c r="D144" s="16">
        <f>C144*E144</f>
        <v>0</v>
      </c>
      <c r="E144" s="44"/>
      <c r="F144" s="205">
        <v>4780023326535</v>
      </c>
      <c r="G144" s="111"/>
      <c r="H144" s="137"/>
      <c r="I144" s="144">
        <v>3305900009</v>
      </c>
      <c r="J144" s="98"/>
      <c r="K144" s="98"/>
      <c r="L144" s="100"/>
      <c r="M144" s="100"/>
      <c r="N144" s="101"/>
      <c r="O144" s="98"/>
    </row>
    <row r="145" spans="1:15" ht="15.6" x14ac:dyDescent="0.3">
      <c r="A145" s="2"/>
      <c r="B145" s="67"/>
      <c r="C145" s="2"/>
      <c r="D145" s="16"/>
      <c r="E145" s="160"/>
      <c r="F145" s="120"/>
      <c r="G145" s="111"/>
      <c r="H145" s="137"/>
      <c r="I145" s="147" t="s">
        <v>211</v>
      </c>
      <c r="J145" s="98"/>
      <c r="K145" s="98"/>
      <c r="L145" s="100"/>
      <c r="M145" s="100"/>
      <c r="N145" s="101"/>
      <c r="O145" s="98"/>
    </row>
    <row r="146" spans="1:15" ht="32.4" x14ac:dyDescent="0.35">
      <c r="A146" s="5"/>
      <c r="B146" s="104" t="s">
        <v>314</v>
      </c>
      <c r="C146" s="104"/>
      <c r="D146" s="170">
        <f>SUM(D147:D149)</f>
        <v>0</v>
      </c>
      <c r="E146" s="113">
        <f>SUM(E147:E149)</f>
        <v>0</v>
      </c>
      <c r="F146" s="121"/>
      <c r="G146" s="139">
        <v>1.2</v>
      </c>
      <c r="H146" s="136">
        <f>G146*D146</f>
        <v>0</v>
      </c>
      <c r="I146" s="148" t="s">
        <v>211</v>
      </c>
    </row>
    <row r="147" spans="1:15" ht="31.2" x14ac:dyDescent="0.3">
      <c r="A147" s="2">
        <v>1</v>
      </c>
      <c r="B147" s="45" t="s">
        <v>315</v>
      </c>
      <c r="C147" s="45">
        <v>8</v>
      </c>
      <c r="D147" s="143">
        <f>+C147*E147</f>
        <v>0</v>
      </c>
      <c r="E147" s="128"/>
      <c r="F147" s="208">
        <v>4780023328898</v>
      </c>
      <c r="G147" s="112"/>
      <c r="H147" s="136">
        <f>G147*D147</f>
        <v>0</v>
      </c>
      <c r="I147" s="144">
        <v>3305100000</v>
      </c>
    </row>
    <row r="148" spans="1:15" ht="31.2" x14ac:dyDescent="0.3">
      <c r="A148" s="2">
        <v>2</v>
      </c>
      <c r="B148" s="45" t="s">
        <v>316</v>
      </c>
      <c r="C148" s="45">
        <v>8</v>
      </c>
      <c r="D148" s="143">
        <f>+C148*E148</f>
        <v>0</v>
      </c>
      <c r="E148" s="128"/>
      <c r="F148" s="208">
        <v>4780023328881</v>
      </c>
      <c r="G148" s="112"/>
      <c r="H148" s="136">
        <f>G148*D148</f>
        <v>0</v>
      </c>
      <c r="I148" s="144">
        <v>3305100000</v>
      </c>
    </row>
    <row r="149" spans="1:15" ht="31.2" x14ac:dyDescent="0.3">
      <c r="A149" s="2">
        <v>3</v>
      </c>
      <c r="B149" s="45" t="s">
        <v>317</v>
      </c>
      <c r="C149" s="45">
        <v>8</v>
      </c>
      <c r="D149" s="143">
        <f>+C149*E149</f>
        <v>0</v>
      </c>
      <c r="E149" s="128"/>
      <c r="F149" s="208">
        <v>4780023328874</v>
      </c>
      <c r="G149" s="112"/>
      <c r="H149" s="136">
        <f>G149*D149</f>
        <v>0</v>
      </c>
      <c r="I149" s="144">
        <v>3305100000</v>
      </c>
    </row>
    <row r="150" spans="1:15" ht="16.2" x14ac:dyDescent="0.35">
      <c r="A150" s="171"/>
      <c r="B150" s="46"/>
      <c r="C150" s="46"/>
      <c r="D150" s="172"/>
      <c r="E150" s="173"/>
      <c r="F150" s="169"/>
      <c r="G150" s="112"/>
      <c r="H150" s="136"/>
      <c r="I150" s="148" t="s">
        <v>211</v>
      </c>
    </row>
    <row r="151" spans="1:15" ht="32.4" x14ac:dyDescent="0.35">
      <c r="A151" s="5"/>
      <c r="B151" s="104" t="s">
        <v>326</v>
      </c>
      <c r="C151" s="104"/>
      <c r="D151" s="170">
        <f>SUM(D152:D155)</f>
        <v>0</v>
      </c>
      <c r="E151" s="113">
        <f>SUM(E152:E155)</f>
        <v>0</v>
      </c>
      <c r="F151" s="121"/>
      <c r="G151" s="139">
        <v>1.38</v>
      </c>
      <c r="H151" s="136">
        <f>G151*D151</f>
        <v>0</v>
      </c>
      <c r="I151" s="148" t="s">
        <v>211</v>
      </c>
    </row>
    <row r="152" spans="1:15" ht="31.2" x14ac:dyDescent="0.3">
      <c r="A152" s="2">
        <v>1</v>
      </c>
      <c r="B152" s="45" t="s">
        <v>327</v>
      </c>
      <c r="C152" s="45">
        <v>8</v>
      </c>
      <c r="D152" s="143">
        <f>+C152*E152</f>
        <v>0</v>
      </c>
      <c r="E152" s="128"/>
      <c r="F152" s="208">
        <v>4780141190742</v>
      </c>
      <c r="G152" s="112"/>
      <c r="H152" s="136">
        <f>G152*D152</f>
        <v>0</v>
      </c>
      <c r="I152" s="144">
        <v>3305100000</v>
      </c>
    </row>
    <row r="153" spans="1:15" ht="36" customHeight="1" x14ac:dyDescent="0.3">
      <c r="A153" s="2">
        <v>2</v>
      </c>
      <c r="B153" s="45" t="s">
        <v>408</v>
      </c>
      <c r="C153" s="45">
        <v>8</v>
      </c>
      <c r="D153" s="143">
        <f>+C153*E153</f>
        <v>0</v>
      </c>
      <c r="E153" s="128"/>
      <c r="F153" s="208">
        <v>4780141190759</v>
      </c>
      <c r="G153" s="112"/>
      <c r="H153" s="136">
        <f>G153*D153</f>
        <v>0</v>
      </c>
      <c r="I153" s="144">
        <v>3305100000</v>
      </c>
    </row>
    <row r="154" spans="1:15" ht="31.2" x14ac:dyDescent="0.3">
      <c r="A154" s="2">
        <v>3</v>
      </c>
      <c r="B154" s="45" t="s">
        <v>328</v>
      </c>
      <c r="C154" s="45">
        <v>8</v>
      </c>
      <c r="D154" s="143">
        <f>+C154*E154</f>
        <v>0</v>
      </c>
      <c r="E154" s="128"/>
      <c r="F154" s="208">
        <v>4780141190735</v>
      </c>
      <c r="G154" s="112"/>
      <c r="H154" s="136">
        <f>G154*D154</f>
        <v>0</v>
      </c>
      <c r="I154" s="144">
        <v>3305100000</v>
      </c>
    </row>
    <row r="155" spans="1:15" ht="31.2" x14ac:dyDescent="0.3">
      <c r="A155" s="2">
        <v>4</v>
      </c>
      <c r="B155" s="45" t="s">
        <v>391</v>
      </c>
      <c r="C155" s="45">
        <v>8</v>
      </c>
      <c r="D155" s="143">
        <f>+C155*E155</f>
        <v>0</v>
      </c>
      <c r="E155" s="128"/>
      <c r="F155" s="208">
        <v>4780141190773</v>
      </c>
      <c r="G155" s="112"/>
      <c r="H155" s="136">
        <f>G155*D155</f>
        <v>0</v>
      </c>
      <c r="I155" s="144">
        <v>3305100000</v>
      </c>
    </row>
    <row r="156" spans="1:15" ht="16.2" x14ac:dyDescent="0.35">
      <c r="A156" s="171"/>
      <c r="B156" s="46"/>
      <c r="C156" s="46"/>
      <c r="D156" s="172"/>
      <c r="E156" s="173"/>
      <c r="F156" s="169"/>
      <c r="G156" s="112"/>
      <c r="H156" s="136"/>
      <c r="I156" s="148" t="s">
        <v>211</v>
      </c>
    </row>
    <row r="157" spans="1:15" ht="32.4" x14ac:dyDescent="0.35">
      <c r="A157" s="5"/>
      <c r="B157" s="104" t="s">
        <v>335</v>
      </c>
      <c r="C157" s="104"/>
      <c r="D157" s="170">
        <f>SUM(D158:D161)</f>
        <v>0</v>
      </c>
      <c r="E157" s="113">
        <f>SUM(E158:E161)</f>
        <v>0</v>
      </c>
      <c r="F157" s="121"/>
      <c r="G157" s="139">
        <v>2.15</v>
      </c>
      <c r="H157" s="136">
        <f>G157*D157</f>
        <v>0</v>
      </c>
      <c r="I157" s="148" t="s">
        <v>211</v>
      </c>
    </row>
    <row r="158" spans="1:15" ht="46.8" x14ac:dyDescent="0.3">
      <c r="A158" s="2">
        <v>1</v>
      </c>
      <c r="B158" s="45" t="s">
        <v>350</v>
      </c>
      <c r="C158" s="45">
        <v>10</v>
      </c>
      <c r="D158" s="143">
        <f>+C158*E158</f>
        <v>0</v>
      </c>
      <c r="E158" s="128"/>
      <c r="F158" s="208">
        <v>4780141190728</v>
      </c>
      <c r="G158" s="112"/>
      <c r="H158" s="136">
        <f>G158*D158</f>
        <v>0</v>
      </c>
      <c r="I158" s="144">
        <v>3305100000</v>
      </c>
    </row>
    <row r="159" spans="1:15" ht="36" customHeight="1" x14ac:dyDescent="0.3">
      <c r="A159" s="2">
        <v>2</v>
      </c>
      <c r="B159" s="45" t="s">
        <v>349</v>
      </c>
      <c r="C159" s="45">
        <v>10</v>
      </c>
      <c r="D159" s="143">
        <f>+C159*E159</f>
        <v>0</v>
      </c>
      <c r="E159" s="128"/>
      <c r="F159" s="208">
        <v>4780141190698</v>
      </c>
      <c r="G159" s="112"/>
      <c r="H159" s="136">
        <f>G159*D159</f>
        <v>0</v>
      </c>
      <c r="I159" s="144">
        <v>3305100000</v>
      </c>
    </row>
    <row r="160" spans="1:15" ht="31.2" x14ac:dyDescent="0.3">
      <c r="A160" s="2">
        <v>3</v>
      </c>
      <c r="B160" s="45" t="s">
        <v>329</v>
      </c>
      <c r="C160" s="45">
        <v>10</v>
      </c>
      <c r="D160" s="143">
        <f>+C160*E160</f>
        <v>0</v>
      </c>
      <c r="E160" s="128"/>
      <c r="F160" s="208">
        <v>4780141190704</v>
      </c>
      <c r="G160" s="112"/>
      <c r="H160" s="136">
        <f>G160*D160</f>
        <v>0</v>
      </c>
      <c r="I160" s="144">
        <v>3305100000</v>
      </c>
    </row>
    <row r="161" spans="1:9" ht="31.2" x14ac:dyDescent="0.3">
      <c r="A161" s="2">
        <v>4</v>
      </c>
      <c r="B161" s="45" t="s">
        <v>330</v>
      </c>
      <c r="C161" s="45">
        <v>10</v>
      </c>
      <c r="D161" s="143">
        <f>+C161*E161</f>
        <v>0</v>
      </c>
      <c r="E161" s="128"/>
      <c r="F161" s="208">
        <v>4780141190711</v>
      </c>
      <c r="G161" s="112"/>
      <c r="H161" s="136">
        <f>G161*D161</f>
        <v>0</v>
      </c>
      <c r="I161" s="144">
        <v>3305100000</v>
      </c>
    </row>
    <row r="162" spans="1:9" ht="16.2" x14ac:dyDescent="0.35">
      <c r="A162" s="171"/>
      <c r="B162" s="46"/>
      <c r="C162" s="46"/>
      <c r="D162" s="172"/>
      <c r="E162" s="173"/>
      <c r="F162" s="169"/>
      <c r="G162" s="112"/>
      <c r="H162" s="136"/>
      <c r="I162" s="148" t="s">
        <v>211</v>
      </c>
    </row>
    <row r="163" spans="1:9" ht="32.4" x14ac:dyDescent="0.35">
      <c r="A163" s="5"/>
      <c r="B163" s="104" t="s">
        <v>334</v>
      </c>
      <c r="C163" s="104"/>
      <c r="D163" s="170">
        <f>SUM(D164:D167)</f>
        <v>0</v>
      </c>
      <c r="E163" s="113">
        <f>SUM(E164:E167)</f>
        <v>0</v>
      </c>
      <c r="F163" s="121"/>
      <c r="G163" s="139">
        <v>1.36</v>
      </c>
      <c r="H163" s="136">
        <f>G163*D163</f>
        <v>0</v>
      </c>
      <c r="I163" s="148" t="s">
        <v>211</v>
      </c>
    </row>
    <row r="164" spans="1:9" ht="31.2" x14ac:dyDescent="0.3">
      <c r="A164" s="2">
        <v>1</v>
      </c>
      <c r="B164" s="45" t="s">
        <v>336</v>
      </c>
      <c r="C164" s="45">
        <v>10</v>
      </c>
      <c r="D164" s="143">
        <f>+C164*E164</f>
        <v>0</v>
      </c>
      <c r="E164" s="128"/>
      <c r="F164" s="208">
        <v>4780141190766</v>
      </c>
      <c r="G164" s="112"/>
      <c r="H164" s="136">
        <f>G164*D164</f>
        <v>0</v>
      </c>
      <c r="I164" s="144">
        <v>3305100000</v>
      </c>
    </row>
    <row r="165" spans="1:9" ht="36" customHeight="1" x14ac:dyDescent="0.3">
      <c r="A165" s="2">
        <v>2</v>
      </c>
      <c r="B165" s="45" t="s">
        <v>337</v>
      </c>
      <c r="C165" s="45">
        <v>10</v>
      </c>
      <c r="D165" s="143">
        <f>+C165*E165</f>
        <v>0</v>
      </c>
      <c r="E165" s="128"/>
      <c r="F165" s="208">
        <v>4780141190797</v>
      </c>
      <c r="G165" s="112"/>
      <c r="H165" s="136">
        <f>G165*D165</f>
        <v>0</v>
      </c>
      <c r="I165" s="144">
        <v>3305100000</v>
      </c>
    </row>
    <row r="166" spans="1:9" ht="31.2" x14ac:dyDescent="0.3">
      <c r="A166" s="2">
        <v>3</v>
      </c>
      <c r="B166" s="45" t="s">
        <v>338</v>
      </c>
      <c r="C166" s="45">
        <v>10</v>
      </c>
      <c r="D166" s="143">
        <f>+C166*E166</f>
        <v>0</v>
      </c>
      <c r="E166" s="128"/>
      <c r="F166" s="208">
        <v>4780141190780</v>
      </c>
      <c r="G166" s="112"/>
      <c r="H166" s="136">
        <f>G166*D166</f>
        <v>0</v>
      </c>
      <c r="I166" s="144">
        <v>3305100000</v>
      </c>
    </row>
    <row r="167" spans="1:9" ht="31.2" x14ac:dyDescent="0.3">
      <c r="A167" s="2">
        <v>4</v>
      </c>
      <c r="B167" s="45" t="s">
        <v>339</v>
      </c>
      <c r="C167" s="45">
        <v>10</v>
      </c>
      <c r="D167" s="143">
        <f>+C167*E167</f>
        <v>0</v>
      </c>
      <c r="E167" s="128"/>
      <c r="F167" s="208">
        <v>4780141190803</v>
      </c>
      <c r="G167" s="112"/>
      <c r="H167" s="136">
        <f>G167*D167</f>
        <v>0</v>
      </c>
      <c r="I167" s="144">
        <v>3305100000</v>
      </c>
    </row>
    <row r="168" spans="1:9" ht="15.6" x14ac:dyDescent="0.3">
      <c r="A168" s="2"/>
      <c r="B168" s="45"/>
      <c r="C168" s="45"/>
      <c r="D168" s="143"/>
      <c r="E168" s="176"/>
      <c r="F168" s="208"/>
      <c r="G168" s="112"/>
      <c r="H168" s="136"/>
      <c r="I168" s="144"/>
    </row>
    <row r="169" spans="1:9" ht="32.4" x14ac:dyDescent="0.35">
      <c r="A169" s="5"/>
      <c r="B169" s="104" t="s">
        <v>341</v>
      </c>
      <c r="C169" s="104"/>
      <c r="D169" s="170">
        <f>SUM(D170:D173)</f>
        <v>0</v>
      </c>
      <c r="E169" s="113">
        <f>SUM(E170:E173)</f>
        <v>0</v>
      </c>
      <c r="F169" s="121"/>
      <c r="G169" s="139">
        <v>1.1000000000000001</v>
      </c>
      <c r="H169" s="136">
        <f>G169*D169</f>
        <v>0</v>
      </c>
      <c r="I169" s="148" t="s">
        <v>211</v>
      </c>
    </row>
    <row r="170" spans="1:9" ht="28.2" customHeight="1" x14ac:dyDescent="0.3">
      <c r="A170" s="2">
        <v>1</v>
      </c>
      <c r="B170" s="45" t="s">
        <v>342</v>
      </c>
      <c r="C170" s="45">
        <v>10</v>
      </c>
      <c r="D170" s="143">
        <f>+C170*E170</f>
        <v>0</v>
      </c>
      <c r="E170" s="128"/>
      <c r="F170" s="208">
        <v>4780141190889</v>
      </c>
      <c r="G170" s="112"/>
      <c r="H170" s="136">
        <f>G170*D170</f>
        <v>0</v>
      </c>
      <c r="I170" s="144">
        <v>3305100000</v>
      </c>
    </row>
    <row r="171" spans="1:9" ht="36" customHeight="1" x14ac:dyDescent="0.3">
      <c r="A171" s="2">
        <v>2</v>
      </c>
      <c r="B171" s="45" t="s">
        <v>343</v>
      </c>
      <c r="C171" s="45">
        <v>10</v>
      </c>
      <c r="D171" s="143">
        <f>+C171*E171</f>
        <v>0</v>
      </c>
      <c r="E171" s="128"/>
      <c r="F171" s="208">
        <v>4780141190919</v>
      </c>
      <c r="G171" s="112"/>
      <c r="H171" s="136">
        <f>G171*D171</f>
        <v>0</v>
      </c>
      <c r="I171" s="144">
        <v>3305100000</v>
      </c>
    </row>
    <row r="172" spans="1:9" ht="31.2" x14ac:dyDescent="0.3">
      <c r="A172" s="2">
        <v>3</v>
      </c>
      <c r="B172" s="45" t="s">
        <v>344</v>
      </c>
      <c r="C172" s="45">
        <v>10</v>
      </c>
      <c r="D172" s="143">
        <f>+C172*E172</f>
        <v>0</v>
      </c>
      <c r="E172" s="128"/>
      <c r="F172" s="208">
        <v>4780141190902</v>
      </c>
      <c r="G172" s="112"/>
      <c r="H172" s="136">
        <f>G172*D172</f>
        <v>0</v>
      </c>
      <c r="I172" s="144">
        <v>3305100000</v>
      </c>
    </row>
    <row r="173" spans="1:9" ht="31.2" x14ac:dyDescent="0.3">
      <c r="A173" s="2">
        <v>4</v>
      </c>
      <c r="B173" s="45" t="s">
        <v>345</v>
      </c>
      <c r="C173" s="45">
        <v>10</v>
      </c>
      <c r="D173" s="143">
        <f>+C173*E173</f>
        <v>0</v>
      </c>
      <c r="E173" s="128"/>
      <c r="F173" s="208">
        <v>4780141190926</v>
      </c>
      <c r="G173" s="112"/>
      <c r="H173" s="136">
        <f>G173*D173</f>
        <v>0</v>
      </c>
      <c r="I173" s="144">
        <v>3305100000</v>
      </c>
    </row>
    <row r="174" spans="1:9" ht="15.6" x14ac:dyDescent="0.3">
      <c r="A174" s="2"/>
      <c r="B174" s="45"/>
      <c r="C174" s="45"/>
      <c r="D174" s="143"/>
      <c r="E174" s="176"/>
      <c r="F174" s="208"/>
      <c r="G174" s="112"/>
      <c r="H174" s="136"/>
      <c r="I174" s="144"/>
    </row>
    <row r="175" spans="1:9" ht="32.4" x14ac:dyDescent="0.35">
      <c r="A175" s="5"/>
      <c r="B175" s="104" t="s">
        <v>351</v>
      </c>
      <c r="C175" s="104"/>
      <c r="D175" s="170">
        <f>SUM(D176:D179)</f>
        <v>0</v>
      </c>
      <c r="E175" s="113">
        <f>SUM(E176:E179)</f>
        <v>0</v>
      </c>
      <c r="F175" s="121"/>
      <c r="G175" s="139">
        <v>1.34</v>
      </c>
      <c r="H175" s="136">
        <f>G175*D175</f>
        <v>0</v>
      </c>
      <c r="I175" s="148" t="s">
        <v>211</v>
      </c>
    </row>
    <row r="176" spans="1:9" ht="28.2" customHeight="1" x14ac:dyDescent="0.3">
      <c r="A176" s="2">
        <v>1</v>
      </c>
      <c r="B176" s="45" t="s">
        <v>352</v>
      </c>
      <c r="C176" s="45">
        <v>10</v>
      </c>
      <c r="D176" s="143">
        <f>+C176*E176</f>
        <v>0</v>
      </c>
      <c r="E176" s="128"/>
      <c r="F176" s="208">
        <v>4780141190841</v>
      </c>
      <c r="G176" s="112"/>
      <c r="H176" s="136">
        <f>G176*D176</f>
        <v>0</v>
      </c>
      <c r="I176" s="144">
        <v>3305100000</v>
      </c>
    </row>
    <row r="177" spans="1:9" ht="36" customHeight="1" x14ac:dyDescent="0.3">
      <c r="A177" s="2">
        <v>2</v>
      </c>
      <c r="B177" s="45" t="s">
        <v>353</v>
      </c>
      <c r="C177" s="45">
        <v>10</v>
      </c>
      <c r="D177" s="143">
        <f>+C177*E177</f>
        <v>0</v>
      </c>
      <c r="E177" s="128"/>
      <c r="F177" s="208">
        <v>4780141190865</v>
      </c>
      <c r="G177" s="112"/>
      <c r="H177" s="136">
        <f>G177*D177</f>
        <v>0</v>
      </c>
      <c r="I177" s="144">
        <v>3305100000</v>
      </c>
    </row>
    <row r="178" spans="1:9" ht="31.2" x14ac:dyDescent="0.3">
      <c r="A178" s="2">
        <v>3</v>
      </c>
      <c r="B178" s="45" t="s">
        <v>354</v>
      </c>
      <c r="C178" s="45">
        <v>10</v>
      </c>
      <c r="D178" s="143">
        <f>+C178*E178</f>
        <v>0</v>
      </c>
      <c r="E178" s="128"/>
      <c r="F178" s="208">
        <v>4780141190827</v>
      </c>
      <c r="G178" s="112"/>
      <c r="H178" s="136">
        <f>G178*D178</f>
        <v>0</v>
      </c>
      <c r="I178" s="144">
        <v>3305100000</v>
      </c>
    </row>
    <row r="179" spans="1:9" ht="31.2" x14ac:dyDescent="0.3">
      <c r="A179" s="2">
        <v>4</v>
      </c>
      <c r="B179" s="45" t="s">
        <v>407</v>
      </c>
      <c r="C179" s="45">
        <v>10</v>
      </c>
      <c r="D179" s="143">
        <f>+C179*E179</f>
        <v>0</v>
      </c>
      <c r="E179" s="128"/>
      <c r="F179" s="208">
        <v>4780141190858</v>
      </c>
      <c r="G179" s="112"/>
      <c r="H179" s="136">
        <f>G179*D179</f>
        <v>0</v>
      </c>
      <c r="I179" s="144">
        <v>3305100000</v>
      </c>
    </row>
    <row r="180" spans="1:9" ht="16.2" x14ac:dyDescent="0.35">
      <c r="A180" s="171"/>
      <c r="B180" s="46"/>
      <c r="C180" s="46"/>
      <c r="D180" s="172"/>
      <c r="E180" s="173"/>
      <c r="F180" s="169"/>
      <c r="G180" s="112"/>
      <c r="H180" s="136"/>
      <c r="I180" s="148" t="s">
        <v>211</v>
      </c>
    </row>
    <row r="181" spans="1:9" ht="32.4" x14ac:dyDescent="0.35">
      <c r="A181" s="5"/>
      <c r="B181" s="104" t="s">
        <v>364</v>
      </c>
      <c r="C181" s="104"/>
      <c r="D181" s="170">
        <f>SUM(D182:D184)</f>
        <v>0</v>
      </c>
      <c r="E181" s="113">
        <f>SUM(E182:E184)</f>
        <v>0</v>
      </c>
      <c r="F181" s="121"/>
      <c r="G181" s="139">
        <v>1.1499999999999999</v>
      </c>
      <c r="H181" s="136">
        <f>G181*D181</f>
        <v>0</v>
      </c>
      <c r="I181" s="148" t="s">
        <v>211</v>
      </c>
    </row>
    <row r="182" spans="1:9" ht="31.2" x14ac:dyDescent="0.3">
      <c r="A182" s="2">
        <v>1</v>
      </c>
      <c r="B182" s="45" t="s">
        <v>363</v>
      </c>
      <c r="C182" s="45">
        <v>10</v>
      </c>
      <c r="D182" s="143">
        <f>+C182*E182</f>
        <v>0</v>
      </c>
      <c r="E182" s="128"/>
      <c r="F182" s="208">
        <v>4780141190810</v>
      </c>
      <c r="G182" s="112"/>
      <c r="H182" s="136">
        <f>G182*D182</f>
        <v>0</v>
      </c>
      <c r="I182" s="144">
        <v>3305100000</v>
      </c>
    </row>
    <row r="183" spans="1:9" ht="36" customHeight="1" x14ac:dyDescent="0.3">
      <c r="A183" s="2">
        <v>2</v>
      </c>
      <c r="B183" s="45" t="s">
        <v>362</v>
      </c>
      <c r="C183" s="45">
        <v>10</v>
      </c>
      <c r="D183" s="143">
        <f>+C183*E183</f>
        <v>0</v>
      </c>
      <c r="E183" s="128"/>
      <c r="F183" s="208">
        <v>4780141191053</v>
      </c>
      <c r="G183" s="112"/>
      <c r="H183" s="136">
        <f>G183*D183</f>
        <v>0</v>
      </c>
      <c r="I183" s="144">
        <v>3305100000</v>
      </c>
    </row>
    <row r="184" spans="1:9" ht="31.2" x14ac:dyDescent="0.3">
      <c r="A184" s="2">
        <v>3</v>
      </c>
      <c r="B184" s="45" t="s">
        <v>361</v>
      </c>
      <c r="C184" s="45">
        <v>10</v>
      </c>
      <c r="D184" s="143">
        <f>+C184*E184</f>
        <v>0</v>
      </c>
      <c r="E184" s="128"/>
      <c r="F184" s="208">
        <v>4780141191060</v>
      </c>
      <c r="G184" s="112"/>
      <c r="H184" s="136">
        <f>G184*D184</f>
        <v>0</v>
      </c>
      <c r="I184" s="144">
        <v>3305100000</v>
      </c>
    </row>
    <row r="185" spans="1:9" ht="15.6" x14ac:dyDescent="0.3">
      <c r="A185" s="2"/>
      <c r="B185" s="45"/>
      <c r="C185" s="45"/>
      <c r="D185" s="143"/>
      <c r="E185" s="176"/>
      <c r="F185" s="208"/>
      <c r="G185" s="112"/>
      <c r="H185" s="136"/>
      <c r="I185" s="144"/>
    </row>
    <row r="186" spans="1:9" ht="32.4" x14ac:dyDescent="0.35">
      <c r="A186" s="5"/>
      <c r="B186" s="104" t="s">
        <v>357</v>
      </c>
      <c r="C186" s="104"/>
      <c r="D186" s="170">
        <f>SUM(D187:D189)</f>
        <v>0</v>
      </c>
      <c r="E186" s="113">
        <f>SUM(E187:E189)</f>
        <v>0</v>
      </c>
      <c r="F186" s="121"/>
      <c r="G186" s="139">
        <v>1.34</v>
      </c>
      <c r="H186" s="136">
        <f>G186*D186</f>
        <v>0</v>
      </c>
      <c r="I186" s="148" t="s">
        <v>211</v>
      </c>
    </row>
    <row r="187" spans="1:9" ht="31.2" x14ac:dyDescent="0.3">
      <c r="A187" s="2">
        <v>1</v>
      </c>
      <c r="B187" s="45" t="s">
        <v>359</v>
      </c>
      <c r="C187" s="45">
        <v>10</v>
      </c>
      <c r="D187" s="143">
        <f>+C187*E187</f>
        <v>0</v>
      </c>
      <c r="E187" s="128"/>
      <c r="F187" s="208">
        <v>4780141190872</v>
      </c>
      <c r="G187" s="112"/>
      <c r="H187" s="136">
        <f>G187*D187</f>
        <v>0</v>
      </c>
      <c r="I187" s="144">
        <v>3305100000</v>
      </c>
    </row>
    <row r="188" spans="1:9" ht="36" customHeight="1" x14ac:dyDescent="0.3">
      <c r="A188" s="2">
        <v>2</v>
      </c>
      <c r="B188" s="45" t="s">
        <v>360</v>
      </c>
      <c r="C188" s="45">
        <v>10</v>
      </c>
      <c r="D188" s="143">
        <f>+C188*E188</f>
        <v>0</v>
      </c>
      <c r="E188" s="128"/>
      <c r="F188" s="208">
        <v>4780141191077</v>
      </c>
      <c r="G188" s="112"/>
      <c r="H188" s="136">
        <f>G188*D188</f>
        <v>0</v>
      </c>
      <c r="I188" s="144">
        <v>3305100000</v>
      </c>
    </row>
    <row r="189" spans="1:9" ht="31.2" x14ac:dyDescent="0.3">
      <c r="A189" s="2">
        <v>3</v>
      </c>
      <c r="B189" s="45" t="s">
        <v>358</v>
      </c>
      <c r="C189" s="45">
        <v>10</v>
      </c>
      <c r="D189" s="143">
        <f>+C189*E189</f>
        <v>0</v>
      </c>
      <c r="E189" s="128"/>
      <c r="F189" s="208">
        <v>4780141191084</v>
      </c>
      <c r="G189" s="112"/>
      <c r="H189" s="136">
        <f>G189*D189</f>
        <v>0</v>
      </c>
      <c r="I189" s="144">
        <v>3305100000</v>
      </c>
    </row>
    <row r="190" spans="1:9" ht="15.6" x14ac:dyDescent="0.3">
      <c r="A190" s="2"/>
      <c r="B190" s="45"/>
      <c r="C190" s="45"/>
      <c r="D190" s="143"/>
      <c r="E190" s="176"/>
      <c r="F190" s="208"/>
      <c r="G190" s="112"/>
      <c r="H190" s="136"/>
      <c r="I190" s="144"/>
    </row>
    <row r="191" spans="1:9" ht="32.4" x14ac:dyDescent="0.35">
      <c r="A191" s="40"/>
      <c r="B191" s="106" t="s">
        <v>355</v>
      </c>
      <c r="C191" s="104"/>
      <c r="D191" s="113">
        <f>SUM(D192:D194)</f>
        <v>0</v>
      </c>
      <c r="E191" s="113">
        <f>SUM(E192:E194)</f>
        <v>0</v>
      </c>
      <c r="F191" s="121"/>
      <c r="G191" s="139">
        <v>0.55000000000000004</v>
      </c>
      <c r="H191" s="136">
        <f>G191*D191</f>
        <v>0</v>
      </c>
      <c r="I191" s="144">
        <v>3307100000</v>
      </c>
    </row>
    <row r="192" spans="1:9" ht="31.2" x14ac:dyDescent="0.35">
      <c r="A192" s="212">
        <v>1</v>
      </c>
      <c r="B192" s="213" t="s">
        <v>409</v>
      </c>
      <c r="C192" s="2">
        <v>24</v>
      </c>
      <c r="D192" s="16">
        <f>+E192*C192</f>
        <v>0</v>
      </c>
      <c r="E192" s="56"/>
      <c r="F192" s="202">
        <v>4780023325699</v>
      </c>
      <c r="G192" s="112"/>
      <c r="H192" s="136">
        <f>G192*D192</f>
        <v>0</v>
      </c>
      <c r="I192" s="144">
        <v>3307100000</v>
      </c>
    </row>
    <row r="193" spans="1:15" ht="31.2" x14ac:dyDescent="0.35">
      <c r="A193" s="212">
        <v>2</v>
      </c>
      <c r="B193" s="213" t="s">
        <v>412</v>
      </c>
      <c r="C193" s="2">
        <v>24</v>
      </c>
      <c r="D193" s="16">
        <f>+E193*C193</f>
        <v>0</v>
      </c>
      <c r="E193" s="56"/>
      <c r="F193" s="202">
        <v>4780141190940</v>
      </c>
      <c r="G193" s="112"/>
      <c r="H193" s="136">
        <f>G193*D193</f>
        <v>0</v>
      </c>
      <c r="I193" s="144">
        <v>3307100000</v>
      </c>
    </row>
    <row r="194" spans="1:15" ht="31.2" x14ac:dyDescent="0.35">
      <c r="A194" s="212">
        <v>3</v>
      </c>
      <c r="B194" s="213" t="s">
        <v>410</v>
      </c>
      <c r="C194" s="2">
        <v>24</v>
      </c>
      <c r="D194" s="16">
        <f>+E194*C194</f>
        <v>0</v>
      </c>
      <c r="E194" s="56"/>
      <c r="F194" s="202">
        <v>4780141190957</v>
      </c>
      <c r="G194" s="112"/>
      <c r="H194" s="136">
        <f>G194*D194</f>
        <v>0</v>
      </c>
      <c r="I194" s="144">
        <v>3307100000</v>
      </c>
    </row>
    <row r="195" spans="1:15" ht="16.2" x14ac:dyDescent="0.35">
      <c r="A195" s="166"/>
      <c r="B195" s="167"/>
      <c r="C195" s="171"/>
      <c r="D195" s="209"/>
      <c r="E195" s="176"/>
      <c r="F195" s="202"/>
      <c r="G195" s="112"/>
      <c r="H195" s="136"/>
      <c r="I195" s="144"/>
    </row>
    <row r="196" spans="1:15" ht="32.4" x14ac:dyDescent="0.3">
      <c r="A196" s="174"/>
      <c r="B196" s="106" t="s">
        <v>356</v>
      </c>
      <c r="C196" s="104"/>
      <c r="D196" s="113">
        <f>SUM(D197:D199)</f>
        <v>0</v>
      </c>
      <c r="E196" s="113">
        <f>SUM(E197:E199)</f>
        <v>0</v>
      </c>
      <c r="F196" s="121"/>
      <c r="G196" s="139">
        <v>0.37</v>
      </c>
      <c r="H196" s="136">
        <f>G196*D196</f>
        <v>0</v>
      </c>
      <c r="I196" s="144">
        <v>3307100000</v>
      </c>
    </row>
    <row r="197" spans="1:15" ht="31.2" x14ac:dyDescent="0.35">
      <c r="A197" s="2">
        <v>1</v>
      </c>
      <c r="B197" s="213" t="s">
        <v>411</v>
      </c>
      <c r="C197" s="2">
        <v>24</v>
      </c>
      <c r="D197" s="16">
        <f>+E197*C197</f>
        <v>0</v>
      </c>
      <c r="E197" s="56"/>
      <c r="F197" s="202">
        <v>4780023322155</v>
      </c>
      <c r="G197" s="112"/>
      <c r="H197" s="136">
        <f>G197*D197</f>
        <v>0</v>
      </c>
      <c r="I197" s="144">
        <v>3307100000</v>
      </c>
    </row>
    <row r="198" spans="1:15" ht="31.2" x14ac:dyDescent="0.35">
      <c r="A198" s="2">
        <v>2</v>
      </c>
      <c r="B198" s="213" t="s">
        <v>413</v>
      </c>
      <c r="C198" s="2">
        <v>24</v>
      </c>
      <c r="D198" s="16">
        <f>+E198*C198</f>
        <v>0</v>
      </c>
      <c r="E198" s="56"/>
      <c r="F198" s="202">
        <v>4780141190971</v>
      </c>
      <c r="G198" s="112"/>
      <c r="H198" s="136">
        <f>G198*D198</f>
        <v>0</v>
      </c>
      <c r="I198" s="144">
        <v>3307100000</v>
      </c>
    </row>
    <row r="199" spans="1:15" ht="31.2" x14ac:dyDescent="0.35">
      <c r="A199" s="2">
        <v>3</v>
      </c>
      <c r="B199" s="213" t="s">
        <v>414</v>
      </c>
      <c r="C199" s="2">
        <v>24</v>
      </c>
      <c r="D199" s="16">
        <f>+E199*C199</f>
        <v>0</v>
      </c>
      <c r="E199" s="56"/>
      <c r="F199" s="202">
        <v>4780141190964</v>
      </c>
      <c r="G199" s="112"/>
      <c r="H199" s="136">
        <f>G199*D199</f>
        <v>0</v>
      </c>
      <c r="I199" s="144">
        <v>3307100000</v>
      </c>
    </row>
    <row r="200" spans="1:15" ht="16.2" x14ac:dyDescent="0.35">
      <c r="A200" s="166"/>
      <c r="B200" s="167"/>
      <c r="C200" s="166"/>
      <c r="D200" s="166"/>
      <c r="E200" s="183"/>
      <c r="F200" s="169"/>
      <c r="G200" s="112"/>
      <c r="H200" s="137"/>
      <c r="I200" s="147" t="s">
        <v>211</v>
      </c>
      <c r="J200" s="98"/>
      <c r="K200" s="98"/>
      <c r="L200" s="100"/>
      <c r="M200" s="100"/>
      <c r="N200" s="101"/>
      <c r="O200" s="98"/>
    </row>
    <row r="201" spans="1:15" ht="32.4" x14ac:dyDescent="0.35">
      <c r="A201" s="5"/>
      <c r="B201" s="104" t="s">
        <v>207</v>
      </c>
      <c r="C201" s="104"/>
      <c r="D201" s="170">
        <f>SUM(D202:D203)</f>
        <v>0</v>
      </c>
      <c r="E201" s="113">
        <f>SUM(E202:E203)</f>
        <v>0</v>
      </c>
      <c r="F201" s="121"/>
      <c r="G201" s="139">
        <v>0.8</v>
      </c>
      <c r="H201" s="136">
        <f>G201*D201</f>
        <v>0</v>
      </c>
      <c r="I201" s="148" t="s">
        <v>211</v>
      </c>
    </row>
    <row r="202" spans="1:15" ht="31.2" x14ac:dyDescent="0.3">
      <c r="A202" s="2">
        <v>1</v>
      </c>
      <c r="B202" s="45" t="s">
        <v>204</v>
      </c>
      <c r="C202" s="45">
        <v>20</v>
      </c>
      <c r="D202" s="143">
        <f>+C202*E202</f>
        <v>0</v>
      </c>
      <c r="E202" s="128"/>
      <c r="F202" s="208">
        <v>4780023327839</v>
      </c>
      <c r="G202" s="112"/>
      <c r="H202" s="136">
        <f>G202*D202</f>
        <v>0</v>
      </c>
      <c r="I202" s="144">
        <v>3305100000</v>
      </c>
    </row>
    <row r="203" spans="1:15" ht="31.2" x14ac:dyDescent="0.3">
      <c r="A203" s="2">
        <v>2</v>
      </c>
      <c r="B203" s="45" t="s">
        <v>205</v>
      </c>
      <c r="C203" s="45">
        <v>20</v>
      </c>
      <c r="D203" s="143">
        <f>+C203*E203</f>
        <v>0</v>
      </c>
      <c r="E203" s="128"/>
      <c r="F203" s="208">
        <v>4780023327846</v>
      </c>
      <c r="G203" s="112"/>
      <c r="H203" s="136">
        <f>G203*D203</f>
        <v>0</v>
      </c>
      <c r="I203" s="144">
        <v>3305100000</v>
      </c>
    </row>
    <row r="204" spans="1:15" ht="16.2" x14ac:dyDescent="0.35">
      <c r="A204" s="171"/>
      <c r="B204" s="46"/>
      <c r="C204" s="46"/>
      <c r="D204" s="172"/>
      <c r="E204" s="173"/>
      <c r="F204" s="169"/>
      <c r="G204" s="112"/>
      <c r="H204" s="136"/>
      <c r="I204" s="148" t="s">
        <v>211</v>
      </c>
    </row>
    <row r="205" spans="1:15" ht="40.799999999999997" x14ac:dyDescent="0.3">
      <c r="A205" s="104" t="s">
        <v>142</v>
      </c>
      <c r="B205" s="189" t="s">
        <v>217</v>
      </c>
      <c r="C205" s="113"/>
      <c r="D205" s="113">
        <f>SUM(D206:D210)</f>
        <v>0</v>
      </c>
      <c r="E205" s="113">
        <f>SUM(E206:E210)</f>
        <v>0</v>
      </c>
      <c r="F205" s="123"/>
      <c r="G205" s="139"/>
      <c r="H205" s="136">
        <f>SUM(H206:H210)</f>
        <v>0</v>
      </c>
      <c r="I205" s="147" t="s">
        <v>211</v>
      </c>
    </row>
    <row r="206" spans="1:15" ht="31.2" x14ac:dyDescent="0.3">
      <c r="A206" s="2">
        <v>1</v>
      </c>
      <c r="B206" s="102" t="s">
        <v>218</v>
      </c>
      <c r="C206" s="2">
        <v>18</v>
      </c>
      <c r="D206" s="8">
        <f>E206*C206</f>
        <v>0</v>
      </c>
      <c r="E206" s="39"/>
      <c r="F206" s="205">
        <v>4780023327617</v>
      </c>
      <c r="G206" s="112">
        <v>0.81</v>
      </c>
      <c r="H206" s="136">
        <f t="shared" ref="H206:H210" si="5">G206*D206</f>
        <v>0</v>
      </c>
      <c r="I206" s="144">
        <v>3305100000</v>
      </c>
    </row>
    <row r="207" spans="1:15" ht="31.2" x14ac:dyDescent="0.3">
      <c r="A207" s="2">
        <v>2</v>
      </c>
      <c r="B207" s="102" t="s">
        <v>219</v>
      </c>
      <c r="C207" s="2">
        <v>20</v>
      </c>
      <c r="D207" s="8">
        <f>E207*C207</f>
        <v>0</v>
      </c>
      <c r="E207" s="39"/>
      <c r="F207" s="205">
        <v>4780023327631</v>
      </c>
      <c r="G207" s="112">
        <v>1.58</v>
      </c>
      <c r="H207" s="136">
        <f t="shared" si="5"/>
        <v>0</v>
      </c>
      <c r="I207" s="144">
        <v>3304990000</v>
      </c>
    </row>
    <row r="208" spans="1:15" ht="31.2" x14ac:dyDescent="0.3">
      <c r="A208" s="2">
        <v>3</v>
      </c>
      <c r="B208" s="102" t="s">
        <v>220</v>
      </c>
      <c r="C208" s="2">
        <v>35</v>
      </c>
      <c r="D208" s="8">
        <f>E208*C208</f>
        <v>0</v>
      </c>
      <c r="E208" s="39"/>
      <c r="F208" s="205">
        <v>4780023327655</v>
      </c>
      <c r="G208" s="112">
        <v>0.45</v>
      </c>
      <c r="H208" s="136">
        <f t="shared" si="5"/>
        <v>0</v>
      </c>
      <c r="I208" s="144">
        <v>3304990000</v>
      </c>
    </row>
    <row r="209" spans="1:13" ht="31.2" x14ac:dyDescent="0.3">
      <c r="A209" s="2">
        <v>4</v>
      </c>
      <c r="B209" s="102" t="s">
        <v>325</v>
      </c>
      <c r="C209" s="2">
        <v>24</v>
      </c>
      <c r="D209" s="8">
        <f>E209*C209</f>
        <v>0</v>
      </c>
      <c r="E209" s="39"/>
      <c r="F209" s="205">
        <v>4780023327624</v>
      </c>
      <c r="G209" s="112">
        <v>0.66</v>
      </c>
      <c r="H209" s="136">
        <f t="shared" si="5"/>
        <v>0</v>
      </c>
      <c r="I209" s="144">
        <v>3304990000</v>
      </c>
    </row>
    <row r="210" spans="1:13" ht="31.2" x14ac:dyDescent="0.3">
      <c r="A210" s="2">
        <v>5</v>
      </c>
      <c r="B210" s="102" t="s">
        <v>221</v>
      </c>
      <c r="C210" s="2">
        <v>48</v>
      </c>
      <c r="D210" s="8">
        <f>E210*C210</f>
        <v>0</v>
      </c>
      <c r="E210" s="39"/>
      <c r="F210" s="205">
        <v>4780023327648</v>
      </c>
      <c r="G210" s="112">
        <v>0.28999999999999998</v>
      </c>
      <c r="H210" s="136">
        <f t="shared" si="5"/>
        <v>0</v>
      </c>
      <c r="I210" s="144">
        <v>3401110001</v>
      </c>
    </row>
    <row r="211" spans="1:13" ht="15.6" x14ac:dyDescent="0.3">
      <c r="A211" s="2"/>
      <c r="B211" s="102"/>
      <c r="C211" s="2"/>
      <c r="D211" s="8"/>
      <c r="E211" s="18"/>
      <c r="F211" s="120"/>
      <c r="G211" s="112"/>
      <c r="H211" s="136"/>
      <c r="I211" s="148" t="s">
        <v>211</v>
      </c>
    </row>
    <row r="212" spans="1:13" ht="36" x14ac:dyDescent="0.25">
      <c r="A212" s="104" t="s">
        <v>142</v>
      </c>
      <c r="B212" s="134" t="s">
        <v>156</v>
      </c>
      <c r="C212" s="113"/>
      <c r="D212" s="113">
        <f>SUM(D213:D221)</f>
        <v>0</v>
      </c>
      <c r="E212" s="113">
        <f>SUM(E213:E221)</f>
        <v>0</v>
      </c>
      <c r="F212" s="123"/>
      <c r="G212" s="108"/>
      <c r="H212" s="206">
        <f>SUM(H213:H220)</f>
        <v>0</v>
      </c>
      <c r="I212" s="148" t="s">
        <v>211</v>
      </c>
    </row>
    <row r="213" spans="1:13" ht="15.6" x14ac:dyDescent="0.3">
      <c r="A213" s="2">
        <v>1</v>
      </c>
      <c r="B213" s="3" t="s">
        <v>376</v>
      </c>
      <c r="C213" s="2">
        <v>16</v>
      </c>
      <c r="D213" s="8">
        <f>E213*C213</f>
        <v>0</v>
      </c>
      <c r="E213" s="39"/>
      <c r="F213" s="205">
        <v>4780141191114</v>
      </c>
      <c r="G213" s="112">
        <v>1.61</v>
      </c>
      <c r="H213" s="136">
        <f t="shared" ref="H213:H220" si="6">G213*D213</f>
        <v>0</v>
      </c>
      <c r="I213" s="144">
        <v>3305100000</v>
      </c>
    </row>
    <row r="214" spans="1:13" ht="15.6" x14ac:dyDescent="0.3">
      <c r="A214" s="2">
        <v>2</v>
      </c>
      <c r="B214" s="3" t="s">
        <v>44</v>
      </c>
      <c r="C214" s="2">
        <v>18</v>
      </c>
      <c r="D214" s="8">
        <f t="shared" ref="D214:D220" si="7">E214*C214</f>
        <v>0</v>
      </c>
      <c r="E214" s="39"/>
      <c r="F214" s="205">
        <v>4780023327013</v>
      </c>
      <c r="G214" s="112">
        <v>1.1200000000000001</v>
      </c>
      <c r="H214" s="136">
        <f t="shared" si="6"/>
        <v>0</v>
      </c>
      <c r="I214" s="144">
        <v>3305900009</v>
      </c>
    </row>
    <row r="215" spans="1:13" s="194" customFormat="1" ht="15.6" x14ac:dyDescent="0.3">
      <c r="A215" s="191">
        <v>3</v>
      </c>
      <c r="B215" s="192" t="s">
        <v>277</v>
      </c>
      <c r="C215" s="2">
        <v>18</v>
      </c>
      <c r="D215" s="8">
        <f>E215*C215</f>
        <v>0</v>
      </c>
      <c r="E215" s="197"/>
      <c r="F215" s="205">
        <v>4780023328850</v>
      </c>
      <c r="G215" s="193">
        <v>0.77</v>
      </c>
      <c r="H215" s="136">
        <f t="shared" si="6"/>
        <v>0</v>
      </c>
      <c r="I215" s="144">
        <v>3401300000</v>
      </c>
      <c r="K215" s="195"/>
      <c r="L215" s="195"/>
      <c r="M215" s="196"/>
    </row>
    <row r="216" spans="1:13" ht="15.6" x14ac:dyDescent="0.3">
      <c r="A216" s="2">
        <v>4</v>
      </c>
      <c r="B216" s="3" t="s">
        <v>45</v>
      </c>
      <c r="C216" s="2">
        <v>18</v>
      </c>
      <c r="D216" s="8">
        <f t="shared" si="7"/>
        <v>0</v>
      </c>
      <c r="E216" s="39"/>
      <c r="F216" s="205">
        <v>4780023327037</v>
      </c>
      <c r="G216" s="112">
        <v>0.94</v>
      </c>
      <c r="H216" s="136">
        <f t="shared" si="6"/>
        <v>0</v>
      </c>
      <c r="I216" s="144">
        <v>3304990000</v>
      </c>
    </row>
    <row r="217" spans="1:13" ht="15.6" x14ac:dyDescent="0.3">
      <c r="A217" s="2">
        <v>5</v>
      </c>
      <c r="B217" s="3" t="s">
        <v>46</v>
      </c>
      <c r="C217" s="2">
        <v>20</v>
      </c>
      <c r="D217" s="8">
        <f t="shared" si="7"/>
        <v>0</v>
      </c>
      <c r="E217" s="39"/>
      <c r="F217" s="205">
        <v>4780023327020</v>
      </c>
      <c r="G217" s="112">
        <v>0.9</v>
      </c>
      <c r="H217" s="136">
        <f t="shared" si="6"/>
        <v>0</v>
      </c>
      <c r="I217" s="144">
        <v>3307900008</v>
      </c>
    </row>
    <row r="218" spans="1:13" ht="15.6" x14ac:dyDescent="0.3">
      <c r="A218" s="191">
        <v>6</v>
      </c>
      <c r="B218" s="3" t="s">
        <v>47</v>
      </c>
      <c r="C218" s="2">
        <v>36</v>
      </c>
      <c r="D218" s="8">
        <f t="shared" si="7"/>
        <v>0</v>
      </c>
      <c r="E218" s="39"/>
      <c r="F218" s="205">
        <v>4780023327051</v>
      </c>
      <c r="G218" s="112">
        <v>0.84</v>
      </c>
      <c r="H218" s="136">
        <f t="shared" si="6"/>
        <v>0</v>
      </c>
      <c r="I218" s="144">
        <v>3304990000</v>
      </c>
    </row>
    <row r="219" spans="1:13" ht="15.6" x14ac:dyDescent="0.3">
      <c r="A219" s="2">
        <v>7</v>
      </c>
      <c r="B219" s="3" t="s">
        <v>48</v>
      </c>
      <c r="C219" s="2">
        <v>36</v>
      </c>
      <c r="D219" s="8">
        <f t="shared" si="7"/>
        <v>0</v>
      </c>
      <c r="E219" s="39"/>
      <c r="F219" s="205">
        <v>4780023327044</v>
      </c>
      <c r="G219" s="112">
        <v>0.82</v>
      </c>
      <c r="H219" s="136">
        <f t="shared" si="6"/>
        <v>0</v>
      </c>
      <c r="I219" s="144">
        <v>3304990000</v>
      </c>
    </row>
    <row r="220" spans="1:13" ht="15.6" x14ac:dyDescent="0.3">
      <c r="A220" s="2">
        <v>8</v>
      </c>
      <c r="B220" s="3" t="s">
        <v>49</v>
      </c>
      <c r="C220" s="2">
        <v>36</v>
      </c>
      <c r="D220" s="8">
        <f t="shared" si="7"/>
        <v>0</v>
      </c>
      <c r="E220" s="39"/>
      <c r="F220" s="205">
        <v>4780023327068</v>
      </c>
      <c r="G220" s="112">
        <v>0.7</v>
      </c>
      <c r="H220" s="136">
        <f t="shared" si="6"/>
        <v>0</v>
      </c>
      <c r="I220" s="144">
        <v>3304990000</v>
      </c>
      <c r="J220" s="207"/>
    </row>
    <row r="221" spans="1:13" ht="15.6" x14ac:dyDescent="0.3">
      <c r="A221" s="2">
        <v>9</v>
      </c>
      <c r="B221" s="3" t="s">
        <v>377</v>
      </c>
      <c r="C221" s="2">
        <v>45</v>
      </c>
      <c r="D221" s="8">
        <f t="shared" ref="D221" si="8">E221*C221</f>
        <v>0</v>
      </c>
      <c r="E221" s="39"/>
      <c r="F221" s="205">
        <v>4780141191121</v>
      </c>
      <c r="G221" s="112">
        <v>0.32</v>
      </c>
      <c r="H221" s="136">
        <f t="shared" ref="H221" si="9">G221*D221</f>
        <v>0</v>
      </c>
      <c r="I221" s="144">
        <v>3304990000</v>
      </c>
      <c r="J221" s="207"/>
    </row>
    <row r="222" spans="1:13" ht="15.6" x14ac:dyDescent="0.3">
      <c r="A222" s="2"/>
      <c r="B222" s="3"/>
      <c r="C222" s="2"/>
      <c r="D222" s="8"/>
      <c r="E222" s="18"/>
      <c r="F222" s="120"/>
      <c r="G222" s="112"/>
      <c r="H222" s="136"/>
      <c r="I222" s="146" t="s">
        <v>211</v>
      </c>
    </row>
    <row r="223" spans="1:13" ht="36" x14ac:dyDescent="0.35">
      <c r="A223" s="105" t="s">
        <v>76</v>
      </c>
      <c r="B223" s="134" t="s">
        <v>203</v>
      </c>
      <c r="C223" s="6"/>
      <c r="D223" s="6">
        <f>SUM(D224:D227)</f>
        <v>0</v>
      </c>
      <c r="E223" s="6">
        <f>SUM(E224:E227)</f>
        <v>0</v>
      </c>
      <c r="F223" s="123"/>
      <c r="G223" s="108"/>
      <c r="H223" s="136">
        <f>SUM(H224:H227)</f>
        <v>0</v>
      </c>
      <c r="I223" s="148" t="s">
        <v>211</v>
      </c>
    </row>
    <row r="224" spans="1:13" ht="31.2" x14ac:dyDescent="0.3">
      <c r="A224" s="2">
        <v>1</v>
      </c>
      <c r="B224" s="102" t="s">
        <v>157</v>
      </c>
      <c r="C224" s="2">
        <v>16</v>
      </c>
      <c r="D224" s="8">
        <f>E224*C224</f>
        <v>0</v>
      </c>
      <c r="E224" s="39"/>
      <c r="F224" s="205">
        <v>4780023326825</v>
      </c>
      <c r="G224" s="112">
        <v>0.85</v>
      </c>
      <c r="H224" s="136">
        <f>G224*D224</f>
        <v>0</v>
      </c>
      <c r="I224" s="144">
        <v>3305100000</v>
      </c>
    </row>
    <row r="225" spans="1:15" ht="31.2" x14ac:dyDescent="0.3">
      <c r="A225" s="2">
        <v>2</v>
      </c>
      <c r="B225" s="102" t="s">
        <v>159</v>
      </c>
      <c r="C225" s="2">
        <v>20</v>
      </c>
      <c r="D225" s="8">
        <f>E225*C225</f>
        <v>0</v>
      </c>
      <c r="E225" s="39"/>
      <c r="F225" s="205">
        <v>4780023326856</v>
      </c>
      <c r="G225" s="112">
        <v>0.75</v>
      </c>
      <c r="H225" s="136">
        <f>G225*D225</f>
        <v>0</v>
      </c>
      <c r="I225" s="144">
        <v>3305900009</v>
      </c>
    </row>
    <row r="226" spans="1:15" ht="31.2" x14ac:dyDescent="0.3">
      <c r="A226" s="2">
        <v>3</v>
      </c>
      <c r="B226" s="102" t="s">
        <v>158</v>
      </c>
      <c r="C226" s="2">
        <v>16</v>
      </c>
      <c r="D226" s="8">
        <f>E226*C226</f>
        <v>0</v>
      </c>
      <c r="E226" s="39"/>
      <c r="F226" s="205">
        <v>4780023326832</v>
      </c>
      <c r="G226" s="112">
        <v>0.92</v>
      </c>
      <c r="H226" s="136">
        <f>G226*D226</f>
        <v>0</v>
      </c>
      <c r="I226" s="144">
        <v>3401300000</v>
      </c>
    </row>
    <row r="227" spans="1:15" ht="31.2" x14ac:dyDescent="0.3">
      <c r="A227" s="2">
        <v>4</v>
      </c>
      <c r="B227" s="102" t="s">
        <v>160</v>
      </c>
      <c r="C227" s="2">
        <v>20</v>
      </c>
      <c r="D227" s="8">
        <f>E227*C227</f>
        <v>0</v>
      </c>
      <c r="E227" s="39"/>
      <c r="F227" s="205">
        <v>4780023326849</v>
      </c>
      <c r="G227" s="112">
        <v>0.7</v>
      </c>
      <c r="H227" s="136">
        <f>G227*D227</f>
        <v>0</v>
      </c>
      <c r="I227" s="144">
        <v>3307100000</v>
      </c>
    </row>
    <row r="228" spans="1:15" ht="14.4" x14ac:dyDescent="0.3">
      <c r="A228" s="158"/>
      <c r="B228" s="159"/>
      <c r="C228" s="159"/>
      <c r="D228" s="180"/>
      <c r="E228" s="180"/>
      <c r="F228" s="124"/>
      <c r="G228" s="112"/>
      <c r="H228" s="136"/>
      <c r="I228" s="148" t="s">
        <v>211</v>
      </c>
    </row>
    <row r="229" spans="1:15" ht="32.4" x14ac:dyDescent="0.3">
      <c r="A229" s="104" t="s">
        <v>142</v>
      </c>
      <c r="B229" s="104" t="s">
        <v>150</v>
      </c>
      <c r="C229" s="113"/>
      <c r="D229" s="113">
        <f>SUM(D230:D234)</f>
        <v>0</v>
      </c>
      <c r="E229" s="113">
        <f>SUM(E230:E234)</f>
        <v>0</v>
      </c>
      <c r="F229" s="123"/>
      <c r="G229" s="108">
        <v>0.69</v>
      </c>
      <c r="H229" s="137">
        <f>G229*D229</f>
        <v>0</v>
      </c>
      <c r="I229" s="147" t="s">
        <v>211</v>
      </c>
      <c r="J229" s="98"/>
      <c r="K229" s="98"/>
      <c r="L229" s="100"/>
      <c r="M229" s="100"/>
      <c r="N229" s="101"/>
      <c r="O229" s="98"/>
    </row>
    <row r="230" spans="1:15" ht="31.2" x14ac:dyDescent="0.3">
      <c r="A230" s="2">
        <v>1</v>
      </c>
      <c r="B230" s="3" t="s">
        <v>151</v>
      </c>
      <c r="C230" s="2">
        <v>18</v>
      </c>
      <c r="D230" s="8">
        <f>E230*C230</f>
        <v>0</v>
      </c>
      <c r="E230" s="39"/>
      <c r="F230" s="205">
        <v>4780023325767</v>
      </c>
      <c r="G230" s="112"/>
      <c r="H230" s="137"/>
      <c r="I230" s="144">
        <v>3305100000</v>
      </c>
      <c r="J230" s="98"/>
      <c r="K230" s="98"/>
      <c r="L230" s="100"/>
      <c r="M230" s="100"/>
      <c r="N230" s="101"/>
      <c r="O230" s="98"/>
    </row>
    <row r="231" spans="1:15" ht="31.2" x14ac:dyDescent="0.3">
      <c r="A231" s="2">
        <v>2</v>
      </c>
      <c r="B231" s="3" t="s">
        <v>152</v>
      </c>
      <c r="C231" s="2">
        <v>18</v>
      </c>
      <c r="D231" s="8">
        <f>E231*C231</f>
        <v>0</v>
      </c>
      <c r="E231" s="39"/>
      <c r="F231" s="205">
        <v>4780023325750</v>
      </c>
      <c r="G231" s="112"/>
      <c r="H231" s="137"/>
      <c r="I231" s="144">
        <v>3305100000</v>
      </c>
      <c r="J231" s="98"/>
      <c r="K231" s="98"/>
      <c r="L231" s="100"/>
      <c r="M231" s="100"/>
      <c r="N231" s="101"/>
      <c r="O231" s="98"/>
    </row>
    <row r="232" spans="1:15" ht="31.2" x14ac:dyDescent="0.3">
      <c r="A232" s="2">
        <v>3</v>
      </c>
      <c r="B232" s="3" t="s">
        <v>153</v>
      </c>
      <c r="C232" s="2">
        <v>18</v>
      </c>
      <c r="D232" s="8">
        <f>E232*C232</f>
        <v>0</v>
      </c>
      <c r="E232" s="39"/>
      <c r="F232" s="205">
        <v>4780023325774</v>
      </c>
      <c r="G232" s="112"/>
      <c r="H232" s="137"/>
      <c r="I232" s="144">
        <v>3305100000</v>
      </c>
      <c r="J232" s="98"/>
      <c r="K232" s="98"/>
      <c r="L232" s="100"/>
      <c r="M232" s="100"/>
      <c r="N232" s="101"/>
      <c r="O232" s="98"/>
    </row>
    <row r="233" spans="1:15" ht="31.2" x14ac:dyDescent="0.3">
      <c r="A233" s="2">
        <v>4</v>
      </c>
      <c r="B233" s="3" t="s">
        <v>154</v>
      </c>
      <c r="C233" s="2">
        <v>18</v>
      </c>
      <c r="D233" s="8">
        <f>E233*C233</f>
        <v>0</v>
      </c>
      <c r="E233" s="39"/>
      <c r="F233" s="205">
        <v>4780023325798</v>
      </c>
      <c r="G233" s="112"/>
      <c r="H233" s="137"/>
      <c r="I233" s="144">
        <v>3305100000</v>
      </c>
      <c r="J233" s="98"/>
      <c r="K233" s="98"/>
      <c r="L233" s="100"/>
      <c r="M233" s="100"/>
      <c r="N233" s="101"/>
      <c r="O233" s="98"/>
    </row>
    <row r="234" spans="1:15" ht="31.2" x14ac:dyDescent="0.3">
      <c r="A234" s="2">
        <v>5</v>
      </c>
      <c r="B234" s="3" t="s">
        <v>155</v>
      </c>
      <c r="C234" s="2">
        <v>18</v>
      </c>
      <c r="D234" s="8">
        <f>E234*C234</f>
        <v>0</v>
      </c>
      <c r="E234" s="39"/>
      <c r="F234" s="205">
        <v>4780023325781</v>
      </c>
      <c r="G234" s="112"/>
      <c r="H234" s="137"/>
      <c r="I234" s="144">
        <v>3305100000</v>
      </c>
      <c r="J234" s="98"/>
      <c r="K234" s="98"/>
      <c r="L234" s="100"/>
      <c r="M234" s="100"/>
      <c r="N234" s="101"/>
      <c r="O234" s="98"/>
    </row>
    <row r="235" spans="1:15" ht="15.6" x14ac:dyDescent="0.3">
      <c r="A235" s="2"/>
      <c r="B235" s="159"/>
      <c r="C235" s="158"/>
      <c r="D235" s="159"/>
      <c r="E235" s="159"/>
      <c r="F235" s="124"/>
      <c r="G235" s="112"/>
      <c r="H235" s="137"/>
      <c r="I235" s="147" t="s">
        <v>211</v>
      </c>
      <c r="J235" s="98"/>
      <c r="K235" s="98"/>
      <c r="L235" s="100"/>
      <c r="M235" s="100"/>
      <c r="N235" s="101"/>
      <c r="O235" s="98"/>
    </row>
    <row r="236" spans="1:15" ht="32.4" x14ac:dyDescent="0.35">
      <c r="A236" s="40"/>
      <c r="B236" s="106" t="s">
        <v>208</v>
      </c>
      <c r="C236" s="106">
        <v>24</v>
      </c>
      <c r="D236" s="164">
        <f>+C236*E236</f>
        <v>0</v>
      </c>
      <c r="E236" s="181"/>
      <c r="F236" s="121">
        <v>4780023326771</v>
      </c>
      <c r="G236" s="139">
        <v>2.5</v>
      </c>
      <c r="H236" s="136">
        <f>G236*D236</f>
        <v>0</v>
      </c>
      <c r="I236" s="144">
        <v>3305900009</v>
      </c>
    </row>
    <row r="237" spans="1:15" ht="16.2" x14ac:dyDescent="0.35">
      <c r="A237" s="166"/>
      <c r="B237" s="167"/>
      <c r="C237" s="167"/>
      <c r="D237" s="168"/>
      <c r="E237" s="167"/>
      <c r="F237" s="169"/>
      <c r="G237" s="112"/>
      <c r="H237" s="136"/>
      <c r="I237" s="148" t="s">
        <v>211</v>
      </c>
    </row>
    <row r="238" spans="1:15" ht="32.4" x14ac:dyDescent="0.35">
      <c r="A238" s="5"/>
      <c r="B238" s="104" t="s">
        <v>285</v>
      </c>
      <c r="C238" s="104"/>
      <c r="D238" s="104">
        <f>D239+D240+D241+D242</f>
        <v>0</v>
      </c>
      <c r="E238" s="104">
        <f>E239+E240+E241+E242</f>
        <v>0</v>
      </c>
      <c r="F238" s="121"/>
      <c r="G238" s="139">
        <v>0.95</v>
      </c>
      <c r="H238" s="136">
        <f>G238*D238</f>
        <v>0</v>
      </c>
      <c r="I238" s="148" t="s">
        <v>211</v>
      </c>
    </row>
    <row r="239" spans="1:15" ht="15.6" x14ac:dyDescent="0.3">
      <c r="A239" s="2">
        <v>1</v>
      </c>
      <c r="B239" s="198" t="s">
        <v>278</v>
      </c>
      <c r="C239" s="2">
        <v>12</v>
      </c>
      <c r="D239" s="199">
        <f>+E239*C239</f>
        <v>0</v>
      </c>
      <c r="E239" s="39"/>
      <c r="F239" s="208">
        <v>4780023329192</v>
      </c>
      <c r="G239" s="112"/>
      <c r="H239" s="136"/>
      <c r="I239" s="144">
        <v>3305900009</v>
      </c>
    </row>
    <row r="240" spans="1:15" ht="15.6" x14ac:dyDescent="0.3">
      <c r="A240" s="2">
        <v>2</v>
      </c>
      <c r="B240" s="198" t="s">
        <v>279</v>
      </c>
      <c r="C240" s="2">
        <v>12</v>
      </c>
      <c r="D240" s="199">
        <f>+E240*C240</f>
        <v>0</v>
      </c>
      <c r="E240" s="39"/>
      <c r="F240" s="208">
        <v>4780023329161</v>
      </c>
      <c r="G240" s="112"/>
      <c r="H240" s="136"/>
      <c r="I240" s="144">
        <v>3305900009</v>
      </c>
    </row>
    <row r="241" spans="1:9" ht="15.6" x14ac:dyDescent="0.3">
      <c r="A241" s="2">
        <v>3</v>
      </c>
      <c r="B241" s="198" t="s">
        <v>280</v>
      </c>
      <c r="C241" s="2">
        <v>12</v>
      </c>
      <c r="D241" s="199">
        <f>+E241*C241</f>
        <v>0</v>
      </c>
      <c r="E241" s="39"/>
      <c r="F241" s="208">
        <v>4780023329178</v>
      </c>
      <c r="G241" s="112"/>
      <c r="H241" s="136"/>
      <c r="I241" s="144">
        <v>3305900009</v>
      </c>
    </row>
    <row r="242" spans="1:9" ht="15.6" x14ac:dyDescent="0.3">
      <c r="A242" s="2">
        <v>4</v>
      </c>
      <c r="B242" s="198" t="s">
        <v>281</v>
      </c>
      <c r="C242" s="2">
        <v>12</v>
      </c>
      <c r="D242" s="199">
        <f>+E242*C242</f>
        <v>0</v>
      </c>
      <c r="E242" s="39"/>
      <c r="F242" s="208">
        <v>4780023329185</v>
      </c>
      <c r="G242" s="112"/>
      <c r="H242" s="136"/>
      <c r="I242" s="144">
        <v>3305900009</v>
      </c>
    </row>
    <row r="243" spans="1:9" ht="16.2" x14ac:dyDescent="0.35">
      <c r="A243" s="171"/>
      <c r="B243" s="46"/>
      <c r="C243" s="46"/>
      <c r="D243" s="182"/>
      <c r="E243" s="182"/>
      <c r="F243" s="169"/>
      <c r="G243" s="112"/>
      <c r="H243" s="136"/>
      <c r="I243" s="148" t="s">
        <v>211</v>
      </c>
    </row>
    <row r="244" spans="1:9" ht="32.4" x14ac:dyDescent="0.35">
      <c r="A244" s="5"/>
      <c r="B244" s="104" t="s">
        <v>286</v>
      </c>
      <c r="C244" s="104"/>
      <c r="D244" s="104">
        <f>D245+D246</f>
        <v>0</v>
      </c>
      <c r="E244" s="104">
        <f>E245+E246</f>
        <v>0</v>
      </c>
      <c r="F244" s="121"/>
      <c r="G244" s="139">
        <v>0.71</v>
      </c>
      <c r="H244" s="136">
        <f>G244*D244</f>
        <v>0</v>
      </c>
      <c r="I244" s="148" t="s">
        <v>211</v>
      </c>
    </row>
    <row r="245" spans="1:9" ht="15.6" x14ac:dyDescent="0.3">
      <c r="A245" s="2">
        <v>1</v>
      </c>
      <c r="B245" s="198" t="s">
        <v>283</v>
      </c>
      <c r="C245" s="2">
        <v>18</v>
      </c>
      <c r="D245" s="199">
        <f>+E245*C245</f>
        <v>0</v>
      </c>
      <c r="E245" s="39"/>
      <c r="F245" s="208">
        <v>4780023329239</v>
      </c>
      <c r="G245" s="112"/>
      <c r="H245" s="136"/>
      <c r="I245" s="144">
        <v>3305900009</v>
      </c>
    </row>
    <row r="246" spans="1:9" ht="15.6" x14ac:dyDescent="0.3">
      <c r="A246" s="2">
        <v>2</v>
      </c>
      <c r="B246" s="198" t="s">
        <v>282</v>
      </c>
      <c r="C246" s="2">
        <v>18</v>
      </c>
      <c r="D246" s="199">
        <f>+E246*C246</f>
        <v>0</v>
      </c>
      <c r="E246" s="39"/>
      <c r="F246" s="208">
        <v>4780023329253</v>
      </c>
      <c r="G246" s="112"/>
      <c r="H246" s="136"/>
      <c r="I246" s="144">
        <v>3305900009</v>
      </c>
    </row>
    <row r="247" spans="1:9" ht="16.2" x14ac:dyDescent="0.35">
      <c r="A247" s="171"/>
      <c r="B247" s="46"/>
      <c r="C247" s="46"/>
      <c r="D247" s="182"/>
      <c r="E247" s="182"/>
      <c r="F247" s="169"/>
      <c r="G247" s="112"/>
      <c r="H247" s="136"/>
      <c r="I247" s="148" t="s">
        <v>211</v>
      </c>
    </row>
    <row r="248" spans="1:9" ht="18" x14ac:dyDescent="0.25">
      <c r="A248" s="104" t="s">
        <v>142</v>
      </c>
      <c r="B248" s="134" t="s">
        <v>392</v>
      </c>
      <c r="C248" s="113"/>
      <c r="D248" s="113">
        <f>SUM(D249:D254)</f>
        <v>0</v>
      </c>
      <c r="E248" s="113">
        <f>SUM(E249:E254)</f>
        <v>0</v>
      </c>
      <c r="F248" s="123"/>
      <c r="G248" s="108"/>
      <c r="H248" s="206">
        <f>SUM(H249:H254)</f>
        <v>0</v>
      </c>
      <c r="I248" s="148" t="s">
        <v>211</v>
      </c>
    </row>
    <row r="249" spans="1:9" ht="31.2" x14ac:dyDescent="0.3">
      <c r="A249" s="2">
        <v>1</v>
      </c>
      <c r="B249" s="192" t="s">
        <v>393</v>
      </c>
      <c r="C249" s="2">
        <v>18</v>
      </c>
      <c r="D249" s="54">
        <f>E249*C249</f>
        <v>0</v>
      </c>
      <c r="E249" s="39"/>
      <c r="F249" s="202">
        <v>4780141191282</v>
      </c>
      <c r="G249" s="110">
        <v>0.9</v>
      </c>
      <c r="H249" s="136">
        <f t="shared" ref="H249:H254" si="10">G249*D249</f>
        <v>0</v>
      </c>
      <c r="I249" s="144">
        <v>3304990000</v>
      </c>
    </row>
    <row r="250" spans="1:9" ht="31.2" x14ac:dyDescent="0.3">
      <c r="A250" s="17">
        <v>2</v>
      </c>
      <c r="B250" s="192" t="s">
        <v>394</v>
      </c>
      <c r="C250" s="17">
        <v>18</v>
      </c>
      <c r="D250" s="54">
        <f t="shared" ref="D250:D254" si="11">E250*C250</f>
        <v>0</v>
      </c>
      <c r="E250" s="39"/>
      <c r="F250" s="202">
        <v>4780141191299</v>
      </c>
      <c r="G250" s="110">
        <v>0.9</v>
      </c>
      <c r="H250" s="136">
        <f t="shared" si="10"/>
        <v>0</v>
      </c>
      <c r="I250" s="144">
        <v>3304990000</v>
      </c>
    </row>
    <row r="251" spans="1:9" ht="31.2" x14ac:dyDescent="0.3">
      <c r="A251" s="2">
        <v>3</v>
      </c>
      <c r="B251" s="3" t="s">
        <v>395</v>
      </c>
      <c r="C251" s="2">
        <v>15</v>
      </c>
      <c r="D251" s="54">
        <f t="shared" si="11"/>
        <v>0</v>
      </c>
      <c r="E251" s="197"/>
      <c r="F251" s="202">
        <v>4780141191046</v>
      </c>
      <c r="G251" s="110">
        <v>1.18</v>
      </c>
      <c r="H251" s="136">
        <f t="shared" si="10"/>
        <v>0</v>
      </c>
      <c r="I251" s="144">
        <v>3304990000</v>
      </c>
    </row>
    <row r="252" spans="1:9" ht="15.6" x14ac:dyDescent="0.3">
      <c r="A252" s="2">
        <v>4</v>
      </c>
      <c r="B252" s="3" t="s">
        <v>396</v>
      </c>
      <c r="C252" s="2">
        <v>16</v>
      </c>
      <c r="D252" s="54">
        <f t="shared" si="11"/>
        <v>0</v>
      </c>
      <c r="E252" s="39"/>
      <c r="F252" s="202">
        <v>4780141191015</v>
      </c>
      <c r="G252" s="110">
        <v>1.32</v>
      </c>
      <c r="H252" s="136">
        <f t="shared" si="10"/>
        <v>0</v>
      </c>
      <c r="I252" s="144">
        <v>3304990000</v>
      </c>
    </row>
    <row r="253" spans="1:9" ht="15.6" x14ac:dyDescent="0.3">
      <c r="A253" s="2">
        <v>5</v>
      </c>
      <c r="B253" s="3" t="s">
        <v>397</v>
      </c>
      <c r="C253" s="2">
        <v>12</v>
      </c>
      <c r="D253" s="54">
        <f t="shared" si="11"/>
        <v>0</v>
      </c>
      <c r="E253" s="39"/>
      <c r="F253" s="202">
        <v>4780141191022</v>
      </c>
      <c r="G253" s="110">
        <v>1.91</v>
      </c>
      <c r="H253" s="136">
        <f t="shared" si="10"/>
        <v>0</v>
      </c>
      <c r="I253" s="144">
        <v>3304990000</v>
      </c>
    </row>
    <row r="254" spans="1:9" ht="15.6" x14ac:dyDescent="0.3">
      <c r="A254" s="17">
        <v>6</v>
      </c>
      <c r="B254" s="3" t="s">
        <v>398</v>
      </c>
      <c r="C254" s="17">
        <v>12</v>
      </c>
      <c r="D254" s="54">
        <f t="shared" si="11"/>
        <v>0</v>
      </c>
      <c r="E254" s="39"/>
      <c r="F254" s="202">
        <v>4780141191039</v>
      </c>
      <c r="G254" s="110">
        <v>0.98</v>
      </c>
      <c r="H254" s="136">
        <f t="shared" si="10"/>
        <v>0</v>
      </c>
      <c r="I254" s="144">
        <v>3304990000</v>
      </c>
    </row>
    <row r="255" spans="1:9" ht="15.6" x14ac:dyDescent="0.3">
      <c r="A255" s="2"/>
      <c r="B255" s="3"/>
      <c r="C255" s="2"/>
      <c r="D255" s="54"/>
      <c r="E255" s="160"/>
      <c r="F255" s="122"/>
      <c r="G255" s="110"/>
      <c r="H255" s="136"/>
      <c r="I255" s="148" t="s">
        <v>211</v>
      </c>
    </row>
    <row r="256" spans="1:9" ht="18" x14ac:dyDescent="0.3">
      <c r="A256" s="104" t="s">
        <v>142</v>
      </c>
      <c r="B256" s="134" t="s">
        <v>80</v>
      </c>
      <c r="C256" s="113"/>
      <c r="D256" s="113">
        <f>SUM(D257:D266)</f>
        <v>0</v>
      </c>
      <c r="E256" s="113">
        <f>SUM(E257:E266)</f>
        <v>0</v>
      </c>
      <c r="F256" s="123"/>
      <c r="G256" s="108">
        <v>0.21</v>
      </c>
      <c r="H256" s="136">
        <f>G256*D256</f>
        <v>0</v>
      </c>
      <c r="I256" s="148" t="s">
        <v>211</v>
      </c>
    </row>
    <row r="257" spans="1:15" ht="15.6" x14ac:dyDescent="0.3">
      <c r="A257" s="2">
        <v>1</v>
      </c>
      <c r="B257" s="3" t="s">
        <v>21</v>
      </c>
      <c r="C257" s="2">
        <v>50</v>
      </c>
      <c r="D257" s="54">
        <f t="shared" ref="D257:D265" si="12">E257*C257</f>
        <v>0</v>
      </c>
      <c r="E257" s="44"/>
      <c r="F257" s="202">
        <v>4780023321578</v>
      </c>
      <c r="G257" s="110"/>
      <c r="H257" s="136"/>
      <c r="I257" s="144">
        <v>3304990000</v>
      </c>
    </row>
    <row r="258" spans="1:15" ht="15.6" x14ac:dyDescent="0.3">
      <c r="A258" s="17">
        <v>2</v>
      </c>
      <c r="B258" s="3" t="s">
        <v>22</v>
      </c>
      <c r="C258" s="17">
        <v>50</v>
      </c>
      <c r="D258" s="54">
        <f t="shared" si="12"/>
        <v>0</v>
      </c>
      <c r="E258" s="44"/>
      <c r="F258" s="202">
        <v>4780023321592</v>
      </c>
      <c r="G258" s="110"/>
      <c r="H258" s="136"/>
      <c r="I258" s="144">
        <v>3304990000</v>
      </c>
    </row>
    <row r="259" spans="1:15" ht="15.6" x14ac:dyDescent="0.3">
      <c r="A259" s="2">
        <v>3</v>
      </c>
      <c r="B259" s="3" t="s">
        <v>291</v>
      </c>
      <c r="C259" s="2">
        <v>50</v>
      </c>
      <c r="D259" s="54">
        <f t="shared" si="12"/>
        <v>0</v>
      </c>
      <c r="E259" s="44"/>
      <c r="F259" s="202">
        <v>4780023321660</v>
      </c>
      <c r="G259" s="110"/>
      <c r="H259" s="136"/>
      <c r="I259" s="144">
        <v>3304990000</v>
      </c>
    </row>
    <row r="260" spans="1:15" ht="15.6" x14ac:dyDescent="0.3">
      <c r="A260" s="2">
        <v>4</v>
      </c>
      <c r="B260" s="3" t="s">
        <v>23</v>
      </c>
      <c r="C260" s="2">
        <v>50</v>
      </c>
      <c r="D260" s="54">
        <f t="shared" si="12"/>
        <v>0</v>
      </c>
      <c r="E260" s="44"/>
      <c r="F260" s="202">
        <v>4780023321684</v>
      </c>
      <c r="G260" s="110"/>
      <c r="H260" s="136"/>
      <c r="I260" s="144">
        <v>3304990000</v>
      </c>
    </row>
    <row r="261" spans="1:15" ht="15.6" x14ac:dyDescent="0.3">
      <c r="A261" s="2">
        <v>5</v>
      </c>
      <c r="B261" s="3" t="s">
        <v>24</v>
      </c>
      <c r="C261" s="2">
        <v>50</v>
      </c>
      <c r="D261" s="54">
        <f t="shared" si="12"/>
        <v>0</v>
      </c>
      <c r="E261" s="44"/>
      <c r="F261" s="202">
        <v>4780023321721</v>
      </c>
      <c r="G261" s="110"/>
      <c r="H261" s="136"/>
      <c r="I261" s="144">
        <v>3304990000</v>
      </c>
    </row>
    <row r="262" spans="1:15" ht="31.2" x14ac:dyDescent="0.3">
      <c r="A262" s="17">
        <v>6</v>
      </c>
      <c r="B262" s="3" t="s">
        <v>25</v>
      </c>
      <c r="C262" s="17">
        <v>50</v>
      </c>
      <c r="D262" s="54">
        <f t="shared" si="12"/>
        <v>0</v>
      </c>
      <c r="E262" s="44"/>
      <c r="F262" s="202">
        <v>4780023321707</v>
      </c>
      <c r="G262" s="110"/>
      <c r="H262" s="136"/>
      <c r="I262" s="144">
        <v>3304990000</v>
      </c>
    </row>
    <row r="263" spans="1:15" ht="15.6" x14ac:dyDescent="0.3">
      <c r="A263" s="17">
        <v>7</v>
      </c>
      <c r="B263" s="3" t="s">
        <v>26</v>
      </c>
      <c r="C263" s="17">
        <v>50</v>
      </c>
      <c r="D263" s="54">
        <f t="shared" si="12"/>
        <v>0</v>
      </c>
      <c r="E263" s="44"/>
      <c r="F263" s="202">
        <v>4780023321738</v>
      </c>
      <c r="G263" s="110"/>
      <c r="H263" s="136"/>
      <c r="I263" s="144">
        <v>3304990000</v>
      </c>
    </row>
    <row r="264" spans="1:15" ht="15.6" x14ac:dyDescent="0.3">
      <c r="A264" s="17">
        <v>8</v>
      </c>
      <c r="B264" s="3" t="s">
        <v>27</v>
      </c>
      <c r="C264" s="17">
        <v>50</v>
      </c>
      <c r="D264" s="54">
        <f t="shared" si="12"/>
        <v>0</v>
      </c>
      <c r="E264" s="44"/>
      <c r="F264" s="202">
        <v>4780023321745</v>
      </c>
      <c r="G264" s="110"/>
      <c r="H264" s="136"/>
      <c r="I264" s="144">
        <v>3304990000</v>
      </c>
    </row>
    <row r="265" spans="1:15" ht="15.6" x14ac:dyDescent="0.3">
      <c r="A265" s="17">
        <v>9</v>
      </c>
      <c r="B265" s="3" t="s">
        <v>28</v>
      </c>
      <c r="C265" s="17">
        <v>50</v>
      </c>
      <c r="D265" s="54">
        <f t="shared" si="12"/>
        <v>0</v>
      </c>
      <c r="E265" s="44"/>
      <c r="F265" s="202">
        <v>4780023321769</v>
      </c>
      <c r="G265" s="110"/>
      <c r="H265" s="136"/>
      <c r="I265" s="144">
        <v>3304990000</v>
      </c>
    </row>
    <row r="266" spans="1:15" ht="31.2" x14ac:dyDescent="0.3">
      <c r="A266" s="2">
        <v>10</v>
      </c>
      <c r="B266" s="3" t="s">
        <v>29</v>
      </c>
      <c r="C266" s="2">
        <v>50</v>
      </c>
      <c r="D266" s="54">
        <f>E266*C266</f>
        <v>0</v>
      </c>
      <c r="E266" s="44"/>
      <c r="F266" s="202">
        <v>4780023321790</v>
      </c>
      <c r="G266" s="110"/>
      <c r="H266" s="136"/>
      <c r="I266" s="144">
        <v>3304990000</v>
      </c>
    </row>
    <row r="267" spans="1:15" ht="15.6" x14ac:dyDescent="0.3">
      <c r="A267" s="2"/>
      <c r="B267" s="3"/>
      <c r="C267" s="2"/>
      <c r="D267" s="54"/>
      <c r="E267" s="160"/>
      <c r="F267" s="122"/>
      <c r="G267" s="110"/>
      <c r="H267" s="136"/>
      <c r="I267" s="148" t="s">
        <v>211</v>
      </c>
    </row>
    <row r="268" spans="1:15" ht="32.4" x14ac:dyDescent="0.3">
      <c r="A268" s="105" t="s">
        <v>142</v>
      </c>
      <c r="B268" s="105" t="s">
        <v>189</v>
      </c>
      <c r="C268" s="115"/>
      <c r="D268" s="115">
        <f>SUM(D269:D270)</f>
        <v>0</v>
      </c>
      <c r="E268" s="113">
        <f>SUM(E269:E270)</f>
        <v>0</v>
      </c>
      <c r="F268" s="123"/>
      <c r="G268" s="140">
        <v>0.8</v>
      </c>
      <c r="H268" s="137">
        <f>G268*D268</f>
        <v>0</v>
      </c>
      <c r="I268" s="147" t="s">
        <v>211</v>
      </c>
      <c r="J268" s="98"/>
      <c r="K268" s="98"/>
      <c r="L268" s="100"/>
      <c r="M268" s="100"/>
      <c r="N268" s="101"/>
      <c r="O268" s="98"/>
    </row>
    <row r="269" spans="1:15" ht="15.6" x14ac:dyDescent="0.3">
      <c r="A269" s="57">
        <v>1</v>
      </c>
      <c r="B269" s="64" t="s">
        <v>37</v>
      </c>
      <c r="C269" s="2">
        <v>20</v>
      </c>
      <c r="D269" s="16">
        <f>C269*E269</f>
        <v>0</v>
      </c>
      <c r="E269" s="39"/>
      <c r="F269" s="205">
        <v>4780023321929</v>
      </c>
      <c r="G269" s="112"/>
      <c r="H269" s="137"/>
      <c r="I269" s="144">
        <v>3307900008</v>
      </c>
      <c r="J269" s="98"/>
      <c r="K269" s="98"/>
      <c r="L269" s="100"/>
      <c r="M269" s="100"/>
      <c r="N269" s="101"/>
      <c r="O269" s="98"/>
    </row>
    <row r="270" spans="1:15" ht="15.6" x14ac:dyDescent="0.3">
      <c r="A270" s="57">
        <v>2</v>
      </c>
      <c r="B270" s="64" t="s">
        <v>38</v>
      </c>
      <c r="C270" s="2">
        <v>20</v>
      </c>
      <c r="D270" s="16">
        <f>C270*E270</f>
        <v>0</v>
      </c>
      <c r="E270" s="39"/>
      <c r="F270" s="205">
        <v>4780023321912</v>
      </c>
      <c r="G270" s="112"/>
      <c r="H270" s="137"/>
      <c r="I270" s="144">
        <v>3307900008</v>
      </c>
      <c r="J270" s="98"/>
      <c r="K270" s="98"/>
      <c r="L270" s="100"/>
      <c r="M270" s="100"/>
      <c r="N270" s="101"/>
      <c r="O270" s="98"/>
    </row>
    <row r="271" spans="1:15" ht="15.6" x14ac:dyDescent="0.3">
      <c r="A271" s="2"/>
      <c r="B271" s="67"/>
      <c r="C271" s="2"/>
      <c r="D271" s="16"/>
      <c r="E271" s="16"/>
      <c r="F271" s="124"/>
      <c r="G271" s="112"/>
      <c r="H271" s="137"/>
      <c r="I271" s="147" t="s">
        <v>211</v>
      </c>
      <c r="J271" s="98"/>
      <c r="K271" s="98"/>
      <c r="L271" s="100"/>
      <c r="M271" s="100"/>
      <c r="N271" s="101"/>
      <c r="O271" s="98"/>
    </row>
    <row r="272" spans="1:15" ht="32.4" x14ac:dyDescent="0.3">
      <c r="A272" s="105" t="s">
        <v>142</v>
      </c>
      <c r="B272" s="105" t="s">
        <v>190</v>
      </c>
      <c r="C272" s="115"/>
      <c r="D272" s="115">
        <f>SUM(D273:D274)</f>
        <v>0</v>
      </c>
      <c r="E272" s="113">
        <f>SUM(E273:E274)</f>
        <v>0</v>
      </c>
      <c r="F272" s="123"/>
      <c r="G272" s="140">
        <v>0.63</v>
      </c>
      <c r="H272" s="137">
        <f>G272*D272</f>
        <v>0</v>
      </c>
      <c r="I272" s="147" t="s">
        <v>211</v>
      </c>
      <c r="J272" s="203"/>
      <c r="K272" s="98"/>
      <c r="L272" s="100"/>
      <c r="M272" s="100"/>
      <c r="N272" s="101"/>
      <c r="O272" s="98"/>
    </row>
    <row r="273" spans="1:15" ht="15.6" x14ac:dyDescent="0.3">
      <c r="A273" s="57">
        <v>1</v>
      </c>
      <c r="B273" s="64" t="s">
        <v>39</v>
      </c>
      <c r="C273" s="2">
        <v>30</v>
      </c>
      <c r="D273" s="16">
        <f>C273*E273</f>
        <v>0</v>
      </c>
      <c r="E273" s="200"/>
      <c r="F273" s="205">
        <v>4780023329130</v>
      </c>
      <c r="G273" s="112"/>
      <c r="H273" s="137"/>
      <c r="I273" s="144">
        <v>3307900008</v>
      </c>
      <c r="J273" s="98"/>
      <c r="K273" s="98"/>
      <c r="L273" s="100"/>
      <c r="M273" s="100"/>
      <c r="N273" s="101"/>
      <c r="O273" s="98"/>
    </row>
    <row r="274" spans="1:15" ht="15.6" x14ac:dyDescent="0.3">
      <c r="A274" s="57">
        <v>2</v>
      </c>
      <c r="B274" s="64" t="s">
        <v>40</v>
      </c>
      <c r="C274" s="2">
        <v>30</v>
      </c>
      <c r="D274" s="16">
        <f>C274*E274</f>
        <v>0</v>
      </c>
      <c r="E274" s="39"/>
      <c r="F274" s="205">
        <v>4780023329123</v>
      </c>
      <c r="G274" s="112"/>
      <c r="H274" s="137"/>
      <c r="I274" s="144">
        <v>3307900008</v>
      </c>
      <c r="J274" s="98"/>
      <c r="K274" s="98"/>
      <c r="L274" s="100"/>
      <c r="M274" s="100"/>
      <c r="N274" s="101"/>
      <c r="O274" s="98"/>
    </row>
    <row r="275" spans="1:15" ht="15.6" x14ac:dyDescent="0.3">
      <c r="A275" s="2"/>
      <c r="B275" s="3"/>
      <c r="C275" s="2"/>
      <c r="D275" s="54"/>
      <c r="E275" s="160"/>
      <c r="F275" s="122"/>
      <c r="G275" s="110"/>
      <c r="H275" s="136"/>
      <c r="I275" s="148" t="s">
        <v>211</v>
      </c>
    </row>
    <row r="276" spans="1:15" ht="36" x14ac:dyDescent="0.3">
      <c r="A276" s="104" t="s">
        <v>142</v>
      </c>
      <c r="B276" s="134" t="s">
        <v>256</v>
      </c>
      <c r="C276" s="113"/>
      <c r="D276" s="113">
        <f>SUM(D277:D288)</f>
        <v>0</v>
      </c>
      <c r="E276" s="113">
        <f>SUM(E277:E288)</f>
        <v>0</v>
      </c>
      <c r="F276" s="123"/>
      <c r="G276" s="108">
        <v>0.57999999999999996</v>
      </c>
      <c r="H276" s="136">
        <f>G276*D276</f>
        <v>0</v>
      </c>
      <c r="I276" s="148" t="s">
        <v>211</v>
      </c>
    </row>
    <row r="277" spans="1:15" ht="15.6" x14ac:dyDescent="0.3">
      <c r="A277" s="2">
        <v>1</v>
      </c>
      <c r="B277" s="3" t="s">
        <v>257</v>
      </c>
      <c r="C277" s="2">
        <v>15</v>
      </c>
      <c r="D277" s="54">
        <f t="shared" ref="D277:D285" si="13">E277*C277</f>
        <v>0</v>
      </c>
      <c r="E277" s="44"/>
      <c r="F277" s="202">
        <v>4780023328980</v>
      </c>
      <c r="G277" s="110"/>
      <c r="H277" s="136"/>
      <c r="I277" s="144">
        <v>3304990000</v>
      </c>
    </row>
    <row r="278" spans="1:15" ht="15.6" x14ac:dyDescent="0.3">
      <c r="A278" s="17">
        <v>2</v>
      </c>
      <c r="B278" s="3" t="s">
        <v>258</v>
      </c>
      <c r="C278" s="17">
        <v>15</v>
      </c>
      <c r="D278" s="54">
        <f t="shared" si="13"/>
        <v>0</v>
      </c>
      <c r="E278" s="44"/>
      <c r="F278" s="202">
        <v>4780023329000</v>
      </c>
      <c r="G278" s="110"/>
      <c r="H278" s="136"/>
      <c r="I278" s="144">
        <v>3304990000</v>
      </c>
    </row>
    <row r="279" spans="1:15" ht="15.6" x14ac:dyDescent="0.3">
      <c r="A279" s="2">
        <v>3</v>
      </c>
      <c r="B279" s="3" t="s">
        <v>259</v>
      </c>
      <c r="C279" s="2">
        <v>15</v>
      </c>
      <c r="D279" s="54">
        <f t="shared" si="13"/>
        <v>0</v>
      </c>
      <c r="E279" s="44"/>
      <c r="F279" s="202">
        <v>4780023328997</v>
      </c>
      <c r="G279" s="110"/>
      <c r="H279" s="136"/>
      <c r="I279" s="144">
        <v>3304990000</v>
      </c>
    </row>
    <row r="280" spans="1:15" ht="15.6" x14ac:dyDescent="0.3">
      <c r="A280" s="2">
        <v>4</v>
      </c>
      <c r="B280" s="3" t="s">
        <v>260</v>
      </c>
      <c r="C280" s="2">
        <v>15</v>
      </c>
      <c r="D280" s="54">
        <f t="shared" si="13"/>
        <v>0</v>
      </c>
      <c r="E280" s="44"/>
      <c r="F280" s="202">
        <v>4780023329017</v>
      </c>
      <c r="G280" s="110"/>
      <c r="H280" s="136"/>
      <c r="I280" s="144">
        <v>3304990000</v>
      </c>
    </row>
    <row r="281" spans="1:15" ht="15.6" x14ac:dyDescent="0.3">
      <c r="A281" s="17">
        <v>5</v>
      </c>
      <c r="B281" s="3" t="s">
        <v>261</v>
      </c>
      <c r="C281" s="17">
        <v>15</v>
      </c>
      <c r="D281" s="54">
        <f t="shared" si="13"/>
        <v>0</v>
      </c>
      <c r="E281" s="44"/>
      <c r="F281" s="202">
        <v>4780023328928</v>
      </c>
      <c r="G281" s="110"/>
      <c r="H281" s="136"/>
      <c r="I281" s="144">
        <v>3304990000</v>
      </c>
    </row>
    <row r="282" spans="1:15" ht="15.6" x14ac:dyDescent="0.3">
      <c r="A282" s="2">
        <v>6</v>
      </c>
      <c r="B282" s="3" t="s">
        <v>262</v>
      </c>
      <c r="C282" s="2">
        <v>15</v>
      </c>
      <c r="D282" s="54">
        <f t="shared" si="13"/>
        <v>0</v>
      </c>
      <c r="E282" s="44"/>
      <c r="F282" s="202">
        <v>4780023328935</v>
      </c>
      <c r="G282" s="110"/>
      <c r="H282" s="136"/>
      <c r="I282" s="144">
        <v>3304990000</v>
      </c>
    </row>
    <row r="283" spans="1:15" ht="15.6" x14ac:dyDescent="0.3">
      <c r="A283" s="2">
        <v>7</v>
      </c>
      <c r="B283" s="3" t="s">
        <v>415</v>
      </c>
      <c r="C283" s="2">
        <v>15</v>
      </c>
      <c r="D283" s="54">
        <f t="shared" si="13"/>
        <v>0</v>
      </c>
      <c r="E283" s="44"/>
      <c r="F283" s="202">
        <v>4780023328942</v>
      </c>
      <c r="G283" s="110"/>
      <c r="H283" s="136"/>
      <c r="I283" s="144">
        <v>3304990000</v>
      </c>
    </row>
    <row r="284" spans="1:15" ht="15.6" x14ac:dyDescent="0.3">
      <c r="A284" s="17">
        <v>8</v>
      </c>
      <c r="B284" s="3" t="s">
        <v>263</v>
      </c>
      <c r="C284" s="17">
        <v>15</v>
      </c>
      <c r="D284" s="54">
        <f t="shared" si="13"/>
        <v>0</v>
      </c>
      <c r="E284" s="44"/>
      <c r="F284" s="202">
        <v>4780023328959</v>
      </c>
      <c r="G284" s="110"/>
      <c r="H284" s="136"/>
      <c r="I284" s="144">
        <v>3304990000</v>
      </c>
    </row>
    <row r="285" spans="1:15" ht="15.6" x14ac:dyDescent="0.3">
      <c r="A285" s="2">
        <v>9</v>
      </c>
      <c r="B285" s="3" t="s">
        <v>264</v>
      </c>
      <c r="C285" s="2">
        <v>15</v>
      </c>
      <c r="D285" s="54">
        <f t="shared" si="13"/>
        <v>0</v>
      </c>
      <c r="E285" s="44"/>
      <c r="F285" s="202">
        <v>4780023328973</v>
      </c>
      <c r="G285" s="110"/>
      <c r="H285" s="136"/>
      <c r="I285" s="144">
        <v>3304990000</v>
      </c>
    </row>
    <row r="286" spans="1:15" ht="15.6" x14ac:dyDescent="0.3">
      <c r="A286" s="2">
        <v>10</v>
      </c>
      <c r="B286" s="3" t="s">
        <v>265</v>
      </c>
      <c r="C286" s="2">
        <v>15</v>
      </c>
      <c r="D286" s="54">
        <f>E286*C286</f>
        <v>0</v>
      </c>
      <c r="E286" s="44"/>
      <c r="F286" s="202">
        <v>4780023329154</v>
      </c>
      <c r="G286" s="110"/>
      <c r="H286" s="136"/>
      <c r="I286" s="144">
        <v>3304990000</v>
      </c>
    </row>
    <row r="287" spans="1:15" ht="15.6" x14ac:dyDescent="0.3">
      <c r="A287" s="17">
        <v>11</v>
      </c>
      <c r="B287" s="3" t="s">
        <v>266</v>
      </c>
      <c r="C287" s="17">
        <v>15</v>
      </c>
      <c r="D287" s="54">
        <f t="shared" ref="D287:D288" si="14">E287*C287</f>
        <v>0</v>
      </c>
      <c r="E287" s="44"/>
      <c r="F287" s="202">
        <v>4780023329147</v>
      </c>
      <c r="G287" s="110"/>
      <c r="H287" s="136"/>
      <c r="I287" s="144">
        <v>3304990000</v>
      </c>
    </row>
    <row r="288" spans="1:15" ht="15.6" x14ac:dyDescent="0.3">
      <c r="A288" s="2">
        <v>12</v>
      </c>
      <c r="B288" s="3" t="s">
        <v>267</v>
      </c>
      <c r="C288" s="2">
        <v>15</v>
      </c>
      <c r="D288" s="54">
        <f t="shared" si="14"/>
        <v>0</v>
      </c>
      <c r="E288" s="44"/>
      <c r="F288" s="202">
        <v>4780023328966</v>
      </c>
      <c r="G288" s="110"/>
      <c r="H288" s="136"/>
      <c r="I288" s="144">
        <v>3304990000</v>
      </c>
    </row>
    <row r="289" spans="1:15" ht="15.6" x14ac:dyDescent="0.3">
      <c r="A289" s="2"/>
      <c r="B289" s="3"/>
      <c r="C289" s="2"/>
      <c r="D289" s="54"/>
      <c r="E289" s="160"/>
      <c r="F289" s="122"/>
      <c r="G289" s="110"/>
      <c r="H289" s="136"/>
      <c r="I289" s="148" t="s">
        <v>211</v>
      </c>
    </row>
    <row r="290" spans="1:15" ht="24.6" x14ac:dyDescent="0.4">
      <c r="A290" s="2"/>
      <c r="B290" s="163" t="s">
        <v>206</v>
      </c>
      <c r="C290" s="2"/>
      <c r="D290" s="8"/>
      <c r="E290" s="160"/>
      <c r="F290" s="120"/>
      <c r="G290" s="112"/>
      <c r="H290" s="137"/>
      <c r="I290" s="147" t="s">
        <v>211</v>
      </c>
      <c r="J290" s="98"/>
      <c r="K290" s="98"/>
      <c r="L290" s="100"/>
      <c r="M290" s="100"/>
      <c r="N290" s="101"/>
      <c r="O290" s="98"/>
    </row>
    <row r="291" spans="1:15" ht="36" x14ac:dyDescent="0.3">
      <c r="A291" s="104" t="s">
        <v>142</v>
      </c>
      <c r="B291" s="134" t="s">
        <v>304</v>
      </c>
      <c r="C291" s="113"/>
      <c r="D291" s="113">
        <f>SUM(D292:D301)</f>
        <v>0</v>
      </c>
      <c r="E291" s="113">
        <f>SUM(E292:E301)</f>
        <v>0</v>
      </c>
      <c r="F291" s="121"/>
      <c r="G291" s="139"/>
      <c r="H291" s="137">
        <f>SUM(H292:H301)</f>
        <v>0</v>
      </c>
      <c r="I291" s="147" t="s">
        <v>211</v>
      </c>
      <c r="J291" s="98"/>
      <c r="K291" s="98"/>
      <c r="L291" s="100"/>
      <c r="M291" s="100"/>
      <c r="N291" s="101"/>
      <c r="O291" s="98"/>
    </row>
    <row r="292" spans="1:15" ht="31.8" x14ac:dyDescent="0.35">
      <c r="A292" s="2">
        <v>1</v>
      </c>
      <c r="B292" s="3" t="s">
        <v>305</v>
      </c>
      <c r="C292" s="2">
        <v>8</v>
      </c>
      <c r="D292" s="8">
        <f t="shared" ref="D292:D301" si="15">E292*C292</f>
        <v>0</v>
      </c>
      <c r="E292" s="127"/>
      <c r="F292" s="205">
        <v>4780141190605</v>
      </c>
      <c r="G292" s="112">
        <v>0.64</v>
      </c>
      <c r="H292" s="137">
        <f t="shared" ref="H292:H301" si="16">G292*D292</f>
        <v>0</v>
      </c>
      <c r="I292" s="144">
        <v>3401209000</v>
      </c>
      <c r="J292" s="98"/>
      <c r="K292" s="98"/>
      <c r="L292" s="100"/>
      <c r="M292" s="100"/>
      <c r="N292" s="101"/>
      <c r="O292" s="98"/>
    </row>
    <row r="293" spans="1:15" ht="31.8" x14ac:dyDescent="0.35">
      <c r="A293" s="2">
        <v>2</v>
      </c>
      <c r="B293" s="3" t="s">
        <v>306</v>
      </c>
      <c r="C293" s="2">
        <v>8</v>
      </c>
      <c r="D293" s="8">
        <f t="shared" si="15"/>
        <v>0</v>
      </c>
      <c r="E293" s="127"/>
      <c r="F293" s="205">
        <v>4780141190599</v>
      </c>
      <c r="G293" s="112">
        <v>0.64</v>
      </c>
      <c r="H293" s="137">
        <f t="shared" si="16"/>
        <v>0</v>
      </c>
      <c r="I293" s="144">
        <v>3401209000</v>
      </c>
      <c r="J293" s="98"/>
      <c r="K293" s="98"/>
      <c r="L293" s="100"/>
      <c r="M293" s="100"/>
      <c r="N293" s="101"/>
      <c r="O293" s="98"/>
    </row>
    <row r="294" spans="1:15" ht="31.8" x14ac:dyDescent="0.35">
      <c r="A294" s="2">
        <v>3</v>
      </c>
      <c r="B294" s="3" t="s">
        <v>307</v>
      </c>
      <c r="C294" s="2">
        <v>8</v>
      </c>
      <c r="D294" s="8">
        <f t="shared" si="15"/>
        <v>0</v>
      </c>
      <c r="E294" s="127"/>
      <c r="F294" s="205">
        <v>4780141190612</v>
      </c>
      <c r="G294" s="112">
        <v>0.64</v>
      </c>
      <c r="H294" s="137">
        <f t="shared" si="16"/>
        <v>0</v>
      </c>
      <c r="I294" s="144">
        <v>3401209000</v>
      </c>
      <c r="J294" s="98"/>
      <c r="K294" s="98"/>
      <c r="L294" s="100"/>
      <c r="M294" s="100"/>
      <c r="N294" s="101"/>
      <c r="O294" s="98"/>
    </row>
    <row r="295" spans="1:15" ht="31.8" x14ac:dyDescent="0.35">
      <c r="A295" s="2">
        <v>4</v>
      </c>
      <c r="B295" s="68" t="s">
        <v>308</v>
      </c>
      <c r="C295" s="2">
        <v>8</v>
      </c>
      <c r="D295" s="8">
        <f t="shared" si="15"/>
        <v>0</v>
      </c>
      <c r="E295" s="127"/>
      <c r="F295" s="205">
        <v>4780141190629</v>
      </c>
      <c r="G295" s="112">
        <v>0.64</v>
      </c>
      <c r="H295" s="137">
        <f t="shared" si="16"/>
        <v>0</v>
      </c>
      <c r="I295" s="144">
        <v>3401209000</v>
      </c>
      <c r="J295" s="98"/>
      <c r="K295" s="98"/>
      <c r="L295" s="100"/>
      <c r="M295" s="100"/>
      <c r="N295" s="101"/>
      <c r="O295" s="98"/>
    </row>
    <row r="296" spans="1:15" ht="31.8" x14ac:dyDescent="0.35">
      <c r="A296" s="2">
        <v>5</v>
      </c>
      <c r="B296" s="3" t="s">
        <v>309</v>
      </c>
      <c r="C296" s="2">
        <v>8</v>
      </c>
      <c r="D296" s="8">
        <f t="shared" si="15"/>
        <v>0</v>
      </c>
      <c r="E296" s="127"/>
      <c r="F296" s="205">
        <v>4780141190643</v>
      </c>
      <c r="G296" s="112">
        <v>0.64</v>
      </c>
      <c r="H296" s="137">
        <f t="shared" si="16"/>
        <v>0</v>
      </c>
      <c r="I296" s="144">
        <v>3401209000</v>
      </c>
      <c r="J296" s="98"/>
      <c r="K296" s="98"/>
      <c r="L296" s="100"/>
      <c r="M296" s="100"/>
      <c r="N296" s="101"/>
      <c r="O296" s="98"/>
    </row>
    <row r="297" spans="1:15" ht="31.8" x14ac:dyDescent="0.35">
      <c r="A297" s="2">
        <v>6</v>
      </c>
      <c r="B297" s="3" t="s">
        <v>310</v>
      </c>
      <c r="C297" s="2">
        <v>8</v>
      </c>
      <c r="D297" s="8">
        <f t="shared" si="15"/>
        <v>0</v>
      </c>
      <c r="E297" s="127"/>
      <c r="F297" s="205">
        <v>4780141190650</v>
      </c>
      <c r="G297" s="112">
        <v>0.64</v>
      </c>
      <c r="H297" s="137">
        <f t="shared" si="16"/>
        <v>0</v>
      </c>
      <c r="I297" s="144">
        <v>3401209000</v>
      </c>
      <c r="J297" s="98"/>
      <c r="K297" s="98"/>
      <c r="L297" s="100"/>
      <c r="M297" s="100"/>
      <c r="N297" s="101"/>
      <c r="O297" s="98"/>
    </row>
    <row r="298" spans="1:15" ht="31.8" x14ac:dyDescent="0.35">
      <c r="A298" s="2">
        <v>7</v>
      </c>
      <c r="B298" s="3" t="s">
        <v>311</v>
      </c>
      <c r="C298" s="2">
        <v>8</v>
      </c>
      <c r="D298" s="8">
        <f t="shared" ref="D298" si="17">E298*C298</f>
        <v>0</v>
      </c>
      <c r="E298" s="127"/>
      <c r="F298" s="205">
        <v>4780141190636</v>
      </c>
      <c r="G298" s="112">
        <v>0.64</v>
      </c>
      <c r="H298" s="137">
        <f t="shared" ref="H298" si="18">G298*D298</f>
        <v>0</v>
      </c>
      <c r="I298" s="144">
        <v>3401209000</v>
      </c>
      <c r="J298" s="98"/>
      <c r="K298" s="98"/>
      <c r="L298" s="100"/>
      <c r="M298" s="100"/>
      <c r="N298" s="101"/>
      <c r="O298" s="98"/>
    </row>
    <row r="299" spans="1:15" ht="31.8" x14ac:dyDescent="0.35">
      <c r="A299" s="2">
        <v>8</v>
      </c>
      <c r="B299" s="3" t="s">
        <v>366</v>
      </c>
      <c r="C299" s="2">
        <v>8</v>
      </c>
      <c r="D299" s="8">
        <f t="shared" si="15"/>
        <v>0</v>
      </c>
      <c r="E299" s="127"/>
      <c r="F299" s="205">
        <v>4780141191138</v>
      </c>
      <c r="G299" s="112">
        <v>0.64</v>
      </c>
      <c r="H299" s="137">
        <f t="shared" si="16"/>
        <v>0</v>
      </c>
      <c r="I299" s="144">
        <v>3401209000</v>
      </c>
      <c r="J299" s="98"/>
      <c r="K299" s="98"/>
      <c r="L299" s="100"/>
      <c r="M299" s="100"/>
      <c r="N299" s="101"/>
      <c r="O299" s="98"/>
    </row>
    <row r="300" spans="1:15" ht="31.8" x14ac:dyDescent="0.35">
      <c r="A300" s="2">
        <v>9</v>
      </c>
      <c r="B300" s="68" t="s">
        <v>312</v>
      </c>
      <c r="C300" s="2">
        <v>8</v>
      </c>
      <c r="D300" s="8">
        <f t="shared" si="15"/>
        <v>0</v>
      </c>
      <c r="E300" s="127"/>
      <c r="F300" s="205">
        <v>4780141190681</v>
      </c>
      <c r="G300" s="112">
        <v>0.77</v>
      </c>
      <c r="H300" s="137">
        <f t="shared" si="16"/>
        <v>0</v>
      </c>
      <c r="I300" s="144">
        <v>3401209000</v>
      </c>
      <c r="J300" s="98"/>
      <c r="K300" s="98"/>
      <c r="L300" s="100"/>
      <c r="M300" s="100"/>
      <c r="N300" s="101"/>
      <c r="O300" s="98"/>
    </row>
    <row r="301" spans="1:15" ht="31.8" x14ac:dyDescent="0.35">
      <c r="A301" s="2">
        <v>10</v>
      </c>
      <c r="B301" s="3" t="s">
        <v>313</v>
      </c>
      <c r="C301" s="2">
        <v>8</v>
      </c>
      <c r="D301" s="8">
        <f t="shared" si="15"/>
        <v>0</v>
      </c>
      <c r="E301" s="127"/>
      <c r="F301" s="205">
        <v>4780141190667</v>
      </c>
      <c r="G301" s="112">
        <v>0.77</v>
      </c>
      <c r="H301" s="137">
        <f t="shared" si="16"/>
        <v>0</v>
      </c>
      <c r="I301" s="144">
        <v>3401209000</v>
      </c>
      <c r="J301" s="98"/>
      <c r="K301" s="98"/>
      <c r="L301" s="100"/>
      <c r="M301" s="100"/>
      <c r="N301" s="101"/>
      <c r="O301" s="98"/>
    </row>
    <row r="302" spans="1:15" ht="16.2" x14ac:dyDescent="0.35">
      <c r="A302" s="2"/>
      <c r="B302" s="3"/>
      <c r="C302" s="2"/>
      <c r="D302" s="8"/>
      <c r="E302" s="184"/>
      <c r="F302" s="120"/>
      <c r="G302" s="112"/>
      <c r="H302" s="137"/>
      <c r="I302" s="146" t="s">
        <v>211</v>
      </c>
      <c r="J302" s="98"/>
      <c r="K302" s="98"/>
      <c r="L302" s="100"/>
      <c r="M302" s="100"/>
      <c r="N302" s="101"/>
      <c r="O302" s="98"/>
    </row>
    <row r="303" spans="1:15" ht="16.2" x14ac:dyDescent="0.3">
      <c r="A303" s="104" t="s">
        <v>142</v>
      </c>
      <c r="B303" s="106" t="s">
        <v>268</v>
      </c>
      <c r="C303" s="117"/>
      <c r="D303" s="117">
        <f>SUM(D304:D308)</f>
        <v>0</v>
      </c>
      <c r="E303" s="126">
        <f>SUM(E304:E308)</f>
        <v>0</v>
      </c>
      <c r="F303" s="123"/>
      <c r="G303" s="139">
        <v>0.28000000000000003</v>
      </c>
      <c r="H303" s="136">
        <f>G303*D303</f>
        <v>0</v>
      </c>
      <c r="I303" s="146" t="s">
        <v>211</v>
      </c>
    </row>
    <row r="304" spans="1:15" ht="15.6" x14ac:dyDescent="0.3">
      <c r="A304" s="2">
        <v>1</v>
      </c>
      <c r="B304" s="3" t="s">
        <v>269</v>
      </c>
      <c r="C304" s="2">
        <v>45</v>
      </c>
      <c r="D304" s="8">
        <f>E304*C304</f>
        <v>0</v>
      </c>
      <c r="E304" s="39"/>
      <c r="F304" s="204">
        <v>4780023328843</v>
      </c>
      <c r="G304" s="112"/>
      <c r="H304" s="136"/>
      <c r="I304" s="144">
        <v>3401110001</v>
      </c>
    </row>
    <row r="305" spans="1:9" ht="15.6" x14ac:dyDescent="0.3">
      <c r="A305" s="2">
        <v>2</v>
      </c>
      <c r="B305" s="3" t="s">
        <v>270</v>
      </c>
      <c r="C305" s="2">
        <v>45</v>
      </c>
      <c r="D305" s="8">
        <f t="shared" ref="D305:D308" si="19">E305*C305</f>
        <v>0</v>
      </c>
      <c r="E305" s="39"/>
      <c r="F305" s="204">
        <v>4780023328829</v>
      </c>
      <c r="G305" s="112"/>
      <c r="H305" s="136"/>
      <c r="I305" s="144">
        <v>3401110001</v>
      </c>
    </row>
    <row r="306" spans="1:9" ht="15.6" x14ac:dyDescent="0.3">
      <c r="A306" s="2">
        <v>3</v>
      </c>
      <c r="B306" s="3" t="s">
        <v>271</v>
      </c>
      <c r="C306" s="2">
        <v>45</v>
      </c>
      <c r="D306" s="8">
        <f t="shared" ref="D306:D307" si="20">E306*C306</f>
        <v>0</v>
      </c>
      <c r="E306" s="39"/>
      <c r="F306" s="204">
        <v>4780023328836</v>
      </c>
      <c r="G306" s="112"/>
      <c r="H306" s="136"/>
      <c r="I306" s="144">
        <v>3401110001</v>
      </c>
    </row>
    <row r="307" spans="1:9" ht="15.6" x14ac:dyDescent="0.3">
      <c r="A307" s="2">
        <v>4</v>
      </c>
      <c r="B307" s="3" t="s">
        <v>273</v>
      </c>
      <c r="C307" s="2">
        <v>45</v>
      </c>
      <c r="D307" s="8">
        <f t="shared" si="20"/>
        <v>0</v>
      </c>
      <c r="E307" s="39"/>
      <c r="F307" s="204">
        <v>4780023329208</v>
      </c>
      <c r="G307" s="112"/>
      <c r="H307" s="136"/>
      <c r="I307" s="144">
        <v>3401110001</v>
      </c>
    </row>
    <row r="308" spans="1:9" ht="15.6" x14ac:dyDescent="0.3">
      <c r="A308" s="2">
        <v>5</v>
      </c>
      <c r="B308" s="3" t="s">
        <v>417</v>
      </c>
      <c r="C308" s="2">
        <v>45</v>
      </c>
      <c r="D308" s="8">
        <f t="shared" si="19"/>
        <v>0</v>
      </c>
      <c r="E308" s="39"/>
      <c r="F308" s="204">
        <v>4780141191145</v>
      </c>
      <c r="G308" s="112"/>
      <c r="H308" s="136"/>
      <c r="I308" s="144">
        <v>3401110001</v>
      </c>
    </row>
    <row r="309" spans="1:9" ht="15.6" x14ac:dyDescent="0.3">
      <c r="A309" s="158"/>
      <c r="B309" s="159"/>
      <c r="C309" s="159"/>
      <c r="D309" s="180"/>
      <c r="E309" s="180"/>
      <c r="F309" s="124"/>
      <c r="G309" s="112"/>
      <c r="H309" s="136"/>
      <c r="I309" s="146" t="s">
        <v>211</v>
      </c>
    </row>
    <row r="310" spans="1:9" ht="18" x14ac:dyDescent="0.35">
      <c r="A310" s="40"/>
      <c r="B310" s="135" t="s">
        <v>192</v>
      </c>
      <c r="C310" s="117">
        <v>100</v>
      </c>
      <c r="D310" s="117">
        <f>C310*E310</f>
        <v>0</v>
      </c>
      <c r="E310" s="181"/>
      <c r="F310" s="123">
        <v>4780023322025</v>
      </c>
      <c r="G310" s="139">
        <v>0.19</v>
      </c>
      <c r="H310" s="136">
        <f>G310*D310</f>
        <v>0</v>
      </c>
      <c r="I310" s="144">
        <v>3401110001</v>
      </c>
    </row>
    <row r="311" spans="1:9" ht="15.6" x14ac:dyDescent="0.3">
      <c r="A311" s="158"/>
      <c r="B311" s="159"/>
      <c r="C311" s="185"/>
      <c r="D311" s="185"/>
      <c r="E311" s="185"/>
      <c r="F311" s="124"/>
      <c r="G311" s="112"/>
      <c r="H311" s="136"/>
      <c r="I311" s="146" t="s">
        <v>211</v>
      </c>
    </row>
    <row r="312" spans="1:9" ht="18" x14ac:dyDescent="0.3">
      <c r="A312" s="104" t="s">
        <v>142</v>
      </c>
      <c r="B312" s="135" t="s">
        <v>191</v>
      </c>
      <c r="C312" s="117"/>
      <c r="D312" s="117">
        <f>SUM(D313:D319)</f>
        <v>0</v>
      </c>
      <c r="E312" s="117">
        <f>SUM(E313:E319)</f>
        <v>0</v>
      </c>
      <c r="F312" s="123"/>
      <c r="G312" s="139">
        <v>0.22</v>
      </c>
      <c r="H312" s="136">
        <f>G312*D312</f>
        <v>0</v>
      </c>
      <c r="I312" s="146" t="s">
        <v>211</v>
      </c>
    </row>
    <row r="313" spans="1:9" ht="15.6" x14ac:dyDescent="0.3">
      <c r="A313" s="2">
        <v>1</v>
      </c>
      <c r="B313" s="3" t="s">
        <v>30</v>
      </c>
      <c r="C313" s="2">
        <v>72</v>
      </c>
      <c r="D313" s="8">
        <f t="shared" ref="D313:D319" si="21">E313*C313</f>
        <v>0</v>
      </c>
      <c r="E313" s="39"/>
      <c r="F313" s="204">
        <v>4780023325217</v>
      </c>
      <c r="G313" s="112"/>
      <c r="H313" s="136"/>
      <c r="I313" s="144">
        <v>3401110001</v>
      </c>
    </row>
    <row r="314" spans="1:9" ht="15.6" x14ac:dyDescent="0.3">
      <c r="A314" s="2">
        <v>2</v>
      </c>
      <c r="B314" s="3" t="s">
        <v>31</v>
      </c>
      <c r="C314" s="2">
        <v>72</v>
      </c>
      <c r="D314" s="8">
        <f t="shared" si="21"/>
        <v>0</v>
      </c>
      <c r="E314" s="39"/>
      <c r="F314" s="204">
        <v>4780023325170</v>
      </c>
      <c r="G314" s="112"/>
      <c r="H314" s="136"/>
      <c r="I314" s="144">
        <v>3401110001</v>
      </c>
    </row>
    <row r="315" spans="1:9" ht="15.6" x14ac:dyDescent="0.3">
      <c r="A315" s="2">
        <v>3</v>
      </c>
      <c r="B315" s="3" t="s">
        <v>32</v>
      </c>
      <c r="C315" s="2">
        <v>72</v>
      </c>
      <c r="D315" s="8">
        <f t="shared" si="21"/>
        <v>0</v>
      </c>
      <c r="E315" s="39"/>
      <c r="F315" s="204">
        <v>4780023325163</v>
      </c>
      <c r="G315" s="112"/>
      <c r="H315" s="136"/>
      <c r="I315" s="144">
        <v>3401110001</v>
      </c>
    </row>
    <row r="316" spans="1:9" ht="15.6" x14ac:dyDescent="0.3">
      <c r="A316" s="2">
        <v>4</v>
      </c>
      <c r="B316" s="3" t="s">
        <v>33</v>
      </c>
      <c r="C316" s="2">
        <v>72</v>
      </c>
      <c r="D316" s="8">
        <f t="shared" si="21"/>
        <v>0</v>
      </c>
      <c r="E316" s="39"/>
      <c r="F316" s="204">
        <v>4780023325156</v>
      </c>
      <c r="G316" s="112"/>
      <c r="H316" s="136"/>
      <c r="I316" s="144">
        <v>3401110001</v>
      </c>
    </row>
    <row r="317" spans="1:9" ht="15.6" x14ac:dyDescent="0.3">
      <c r="A317" s="2">
        <v>5</v>
      </c>
      <c r="B317" s="3" t="s">
        <v>34</v>
      </c>
      <c r="C317" s="2">
        <v>72</v>
      </c>
      <c r="D317" s="8">
        <f t="shared" si="21"/>
        <v>0</v>
      </c>
      <c r="E317" s="39"/>
      <c r="F317" s="204">
        <v>4780023325187</v>
      </c>
      <c r="G317" s="112"/>
      <c r="H317" s="136"/>
      <c r="I317" s="144">
        <v>3401110001</v>
      </c>
    </row>
    <row r="318" spans="1:9" ht="15.6" x14ac:dyDescent="0.3">
      <c r="A318" s="2">
        <v>6</v>
      </c>
      <c r="B318" s="3" t="s">
        <v>35</v>
      </c>
      <c r="C318" s="2">
        <v>72</v>
      </c>
      <c r="D318" s="8">
        <f t="shared" si="21"/>
        <v>0</v>
      </c>
      <c r="E318" s="39"/>
      <c r="F318" s="204">
        <v>4780023325194</v>
      </c>
      <c r="G318" s="112"/>
      <c r="H318" s="136"/>
      <c r="I318" s="144">
        <v>3401110001</v>
      </c>
    </row>
    <row r="319" spans="1:9" ht="15.6" x14ac:dyDescent="0.3">
      <c r="A319" s="2">
        <v>7</v>
      </c>
      <c r="B319" s="3" t="s">
        <v>36</v>
      </c>
      <c r="C319" s="2">
        <v>72</v>
      </c>
      <c r="D319" s="8">
        <f t="shared" si="21"/>
        <v>0</v>
      </c>
      <c r="E319" s="39"/>
      <c r="F319" s="204">
        <v>4780023325200</v>
      </c>
      <c r="G319" s="112"/>
      <c r="H319" s="136"/>
      <c r="I319" s="144">
        <v>3401110001</v>
      </c>
    </row>
    <row r="320" spans="1:9" ht="15.6" x14ac:dyDescent="0.3">
      <c r="A320" s="158"/>
      <c r="B320" s="159"/>
      <c r="C320" s="159"/>
      <c r="D320" s="180"/>
      <c r="E320" s="180"/>
      <c r="F320" s="124"/>
      <c r="G320" s="112"/>
      <c r="H320" s="136"/>
      <c r="I320" s="146" t="s">
        <v>211</v>
      </c>
    </row>
    <row r="321" spans="1:9" ht="18" x14ac:dyDescent="0.3">
      <c r="A321" s="104" t="s">
        <v>142</v>
      </c>
      <c r="B321" s="135" t="s">
        <v>193</v>
      </c>
      <c r="C321" s="117"/>
      <c r="D321" s="117">
        <f>SUM(D322:D328)</f>
        <v>0</v>
      </c>
      <c r="E321" s="117">
        <f>SUM(E322:E328)</f>
        <v>0</v>
      </c>
      <c r="F321" s="123"/>
      <c r="G321" s="139">
        <v>0.33</v>
      </c>
      <c r="H321" s="136">
        <f>G321*D321</f>
        <v>0</v>
      </c>
      <c r="I321" s="146" t="s">
        <v>211</v>
      </c>
    </row>
    <row r="322" spans="1:9" ht="15.6" x14ac:dyDescent="0.3">
      <c r="A322" s="2">
        <v>1</v>
      </c>
      <c r="B322" s="69" t="s">
        <v>58</v>
      </c>
      <c r="C322" s="2">
        <v>48</v>
      </c>
      <c r="D322" s="8">
        <f>E322*C322</f>
        <v>0</v>
      </c>
      <c r="E322" s="39"/>
      <c r="F322" s="204">
        <v>4780023325477</v>
      </c>
      <c r="G322" s="112"/>
      <c r="H322" s="136"/>
      <c r="I322" s="144">
        <v>3401110001</v>
      </c>
    </row>
    <row r="323" spans="1:9" ht="15.6" x14ac:dyDescent="0.3">
      <c r="A323" s="2">
        <v>2</v>
      </c>
      <c r="B323" s="69" t="s">
        <v>59</v>
      </c>
      <c r="C323" s="2">
        <v>48</v>
      </c>
      <c r="D323" s="8">
        <f>E323*C323</f>
        <v>0</v>
      </c>
      <c r="E323" s="39"/>
      <c r="F323" s="204">
        <v>4780023325491</v>
      </c>
      <c r="G323" s="112"/>
      <c r="H323" s="136"/>
      <c r="I323" s="144">
        <v>3401110001</v>
      </c>
    </row>
    <row r="324" spans="1:9" ht="15.6" x14ac:dyDescent="0.3">
      <c r="A324" s="2">
        <v>3</v>
      </c>
      <c r="B324" s="69" t="s">
        <v>60</v>
      </c>
      <c r="C324" s="2">
        <v>48</v>
      </c>
      <c r="D324" s="8">
        <f>E324*C324</f>
        <v>0</v>
      </c>
      <c r="E324" s="39"/>
      <c r="F324" s="204">
        <v>4780023325460</v>
      </c>
      <c r="G324" s="112"/>
      <c r="H324" s="136"/>
      <c r="I324" s="144">
        <v>3401110001</v>
      </c>
    </row>
    <row r="325" spans="1:9" ht="15.6" x14ac:dyDescent="0.3">
      <c r="A325" s="2">
        <v>4</v>
      </c>
      <c r="B325" s="69" t="s">
        <v>61</v>
      </c>
      <c r="C325" s="2">
        <v>48</v>
      </c>
      <c r="D325" s="8">
        <f>E325*C325</f>
        <v>0</v>
      </c>
      <c r="E325" s="39"/>
      <c r="F325" s="204">
        <v>4780023325484</v>
      </c>
      <c r="G325" s="112"/>
      <c r="H325" s="136"/>
      <c r="I325" s="144">
        <v>3401110001</v>
      </c>
    </row>
    <row r="326" spans="1:9" ht="15.6" x14ac:dyDescent="0.3">
      <c r="A326" s="2">
        <v>5</v>
      </c>
      <c r="B326" s="69" t="s">
        <v>62</v>
      </c>
      <c r="C326" s="2">
        <v>48</v>
      </c>
      <c r="D326" s="8">
        <f>E326*C326</f>
        <v>0</v>
      </c>
      <c r="E326" s="39"/>
      <c r="F326" s="204">
        <v>4780023325446</v>
      </c>
      <c r="G326" s="112"/>
      <c r="H326" s="136"/>
      <c r="I326" s="144">
        <v>3401110001</v>
      </c>
    </row>
    <row r="327" spans="1:9" ht="15.6" x14ac:dyDescent="0.3">
      <c r="A327" s="2">
        <v>6</v>
      </c>
      <c r="B327" s="69" t="s">
        <v>63</v>
      </c>
      <c r="C327" s="2">
        <v>48</v>
      </c>
      <c r="D327" s="8">
        <f t="shared" ref="D327:D328" si="22">E327*C327</f>
        <v>0</v>
      </c>
      <c r="E327" s="39"/>
      <c r="F327" s="204">
        <v>4780023325453</v>
      </c>
      <c r="G327" s="112"/>
      <c r="H327" s="136"/>
      <c r="I327" s="144">
        <v>3401110001</v>
      </c>
    </row>
    <row r="328" spans="1:9" ht="15.6" x14ac:dyDescent="0.3">
      <c r="A328" s="2">
        <v>7</v>
      </c>
      <c r="B328" s="69" t="s">
        <v>64</v>
      </c>
      <c r="C328" s="2">
        <v>48</v>
      </c>
      <c r="D328" s="8">
        <f t="shared" si="22"/>
        <v>0</v>
      </c>
      <c r="E328" s="39"/>
      <c r="F328" s="204">
        <v>4780023325439</v>
      </c>
      <c r="G328" s="112"/>
      <c r="H328" s="136"/>
      <c r="I328" s="144">
        <v>3401110001</v>
      </c>
    </row>
    <row r="329" spans="1:9" ht="15.6" x14ac:dyDescent="0.3">
      <c r="A329" s="158"/>
      <c r="B329" s="159"/>
      <c r="C329" s="159"/>
      <c r="D329" s="180"/>
      <c r="E329" s="180"/>
      <c r="F329" s="124"/>
      <c r="G329" s="112"/>
      <c r="H329" s="136"/>
      <c r="I329" s="146" t="s">
        <v>211</v>
      </c>
    </row>
    <row r="330" spans="1:9" ht="16.2" x14ac:dyDescent="0.3">
      <c r="A330" s="104" t="s">
        <v>142</v>
      </c>
      <c r="B330" s="106" t="s">
        <v>194</v>
      </c>
      <c r="C330" s="117"/>
      <c r="D330" s="117">
        <f>SUM(D331:D337)</f>
        <v>0</v>
      </c>
      <c r="E330" s="126">
        <f>SUM(E331:E337)</f>
        <v>0</v>
      </c>
      <c r="F330" s="123"/>
      <c r="G330" s="139">
        <v>0.4</v>
      </c>
      <c r="H330" s="136">
        <f>G330*D330</f>
        <v>0</v>
      </c>
      <c r="I330" s="146" t="s">
        <v>211</v>
      </c>
    </row>
    <row r="331" spans="1:9" ht="15.6" x14ac:dyDescent="0.3">
      <c r="A331" s="2">
        <v>1</v>
      </c>
      <c r="B331" s="3" t="s">
        <v>66</v>
      </c>
      <c r="C331" s="2">
        <v>48</v>
      </c>
      <c r="D331" s="8">
        <f t="shared" ref="D331:D336" si="23">E331*C331</f>
        <v>0</v>
      </c>
      <c r="E331" s="39"/>
      <c r="F331" s="204">
        <v>4780023325101</v>
      </c>
      <c r="G331" s="112"/>
      <c r="H331" s="136"/>
      <c r="I331" s="144">
        <v>3401110001</v>
      </c>
    </row>
    <row r="332" spans="1:9" ht="15.6" x14ac:dyDescent="0.3">
      <c r="A332" s="2">
        <v>2</v>
      </c>
      <c r="B332" s="3" t="s">
        <v>67</v>
      </c>
      <c r="C332" s="2">
        <v>48</v>
      </c>
      <c r="D332" s="8">
        <f t="shared" si="23"/>
        <v>0</v>
      </c>
      <c r="E332" s="39"/>
      <c r="F332" s="204">
        <v>4780023325088</v>
      </c>
      <c r="G332" s="112"/>
      <c r="H332" s="136"/>
      <c r="I332" s="144">
        <v>3401110001</v>
      </c>
    </row>
    <row r="333" spans="1:9" ht="15.6" x14ac:dyDescent="0.3">
      <c r="A333" s="2">
        <v>3</v>
      </c>
      <c r="B333" s="3" t="s">
        <v>68</v>
      </c>
      <c r="C333" s="2">
        <v>48</v>
      </c>
      <c r="D333" s="8">
        <f t="shared" si="23"/>
        <v>0</v>
      </c>
      <c r="E333" s="39"/>
      <c r="F333" s="204">
        <v>4780023325118</v>
      </c>
      <c r="G333" s="112"/>
      <c r="H333" s="136"/>
      <c r="I333" s="144">
        <v>3401110001</v>
      </c>
    </row>
    <row r="334" spans="1:9" ht="15.6" x14ac:dyDescent="0.3">
      <c r="A334" s="2">
        <v>4</v>
      </c>
      <c r="B334" s="3" t="s">
        <v>69</v>
      </c>
      <c r="C334" s="2">
        <v>48</v>
      </c>
      <c r="D334" s="8">
        <f t="shared" si="23"/>
        <v>0</v>
      </c>
      <c r="E334" s="39"/>
      <c r="F334" s="204">
        <v>4780023325149</v>
      </c>
      <c r="G334" s="112"/>
      <c r="H334" s="136"/>
      <c r="I334" s="144">
        <v>3401110001</v>
      </c>
    </row>
    <row r="335" spans="1:9" ht="15.6" x14ac:dyDescent="0.3">
      <c r="A335" s="2">
        <v>5</v>
      </c>
      <c r="B335" s="3" t="s">
        <v>70</v>
      </c>
      <c r="C335" s="2">
        <v>48</v>
      </c>
      <c r="D335" s="8">
        <f t="shared" si="23"/>
        <v>0</v>
      </c>
      <c r="E335" s="39"/>
      <c r="F335" s="204">
        <v>4780023325095</v>
      </c>
      <c r="G335" s="112"/>
      <c r="H335" s="136"/>
      <c r="I335" s="144">
        <v>3401110001</v>
      </c>
    </row>
    <row r="336" spans="1:9" ht="15.6" x14ac:dyDescent="0.3">
      <c r="A336" s="2">
        <v>6</v>
      </c>
      <c r="B336" s="3" t="s">
        <v>71</v>
      </c>
      <c r="C336" s="2">
        <v>48</v>
      </c>
      <c r="D336" s="8">
        <f t="shared" si="23"/>
        <v>0</v>
      </c>
      <c r="E336" s="39"/>
      <c r="F336" s="204">
        <v>4780023325132</v>
      </c>
      <c r="G336" s="112"/>
      <c r="H336" s="136"/>
      <c r="I336" s="144">
        <v>3401110001</v>
      </c>
    </row>
    <row r="337" spans="1:15" ht="15.6" x14ac:dyDescent="0.3">
      <c r="A337" s="2">
        <v>7</v>
      </c>
      <c r="B337" s="3" t="s">
        <v>72</v>
      </c>
      <c r="C337" s="2">
        <v>48</v>
      </c>
      <c r="D337" s="8">
        <f>E337*C337</f>
        <v>0</v>
      </c>
      <c r="E337" s="39"/>
      <c r="F337" s="204">
        <v>4780023325125</v>
      </c>
      <c r="G337" s="112"/>
      <c r="H337" s="136"/>
      <c r="I337" s="144">
        <v>3401110001</v>
      </c>
    </row>
    <row r="338" spans="1:15" ht="15.6" x14ac:dyDescent="0.3">
      <c r="A338" s="158"/>
      <c r="B338" s="159"/>
      <c r="C338" s="159"/>
      <c r="D338" s="180"/>
      <c r="E338" s="180"/>
      <c r="F338" s="124"/>
      <c r="G338" s="112"/>
      <c r="H338" s="136"/>
      <c r="I338" s="146" t="s">
        <v>211</v>
      </c>
    </row>
    <row r="339" spans="1:15" ht="32.4" x14ac:dyDescent="0.35">
      <c r="A339" s="40"/>
      <c r="B339" s="106" t="s">
        <v>184</v>
      </c>
      <c r="C339" s="117">
        <v>48</v>
      </c>
      <c r="D339" s="117">
        <f>E339*C339</f>
        <v>0</v>
      </c>
      <c r="E339" s="181"/>
      <c r="F339" s="121">
        <v>4780023320533</v>
      </c>
      <c r="G339" s="139">
        <v>0.33</v>
      </c>
      <c r="H339" s="136">
        <f>G339*D339</f>
        <v>0</v>
      </c>
      <c r="I339" s="144">
        <v>3401190000</v>
      </c>
    </row>
    <row r="340" spans="1:15" ht="16.2" x14ac:dyDescent="0.35">
      <c r="A340" s="166"/>
      <c r="B340" s="167"/>
      <c r="C340" s="186"/>
      <c r="D340" s="186"/>
      <c r="E340" s="186"/>
      <c r="F340" s="169"/>
      <c r="G340" s="112"/>
      <c r="H340" s="136"/>
      <c r="I340" s="148" t="s">
        <v>211</v>
      </c>
    </row>
    <row r="341" spans="1:15" ht="22.8" x14ac:dyDescent="0.35">
      <c r="A341" s="166"/>
      <c r="B341" s="187" t="s">
        <v>198</v>
      </c>
      <c r="C341" s="186"/>
      <c r="D341" s="186"/>
      <c r="E341" s="186"/>
      <c r="F341" s="169"/>
      <c r="G341" s="112"/>
      <c r="H341" s="136"/>
      <c r="I341" s="148" t="s">
        <v>211</v>
      </c>
    </row>
    <row r="342" spans="1:15" ht="40.799999999999997" x14ac:dyDescent="0.3">
      <c r="A342" s="104" t="s">
        <v>142</v>
      </c>
      <c r="B342" s="189" t="s">
        <v>163</v>
      </c>
      <c r="C342" s="113"/>
      <c r="D342" s="113">
        <f>SUM(D343:D347)</f>
        <v>0</v>
      </c>
      <c r="E342" s="113">
        <f>SUM(E343:E347)</f>
        <v>0</v>
      </c>
      <c r="F342" s="123"/>
      <c r="G342" s="139"/>
      <c r="H342" s="136">
        <f>SUM(H343:H347)</f>
        <v>0</v>
      </c>
      <c r="I342" s="148" t="s">
        <v>211</v>
      </c>
    </row>
    <row r="343" spans="1:15" ht="15.6" x14ac:dyDescent="0.3">
      <c r="A343" s="2">
        <v>1</v>
      </c>
      <c r="B343" s="102" t="s">
        <v>50</v>
      </c>
      <c r="C343" s="62">
        <v>12</v>
      </c>
      <c r="D343" s="8">
        <f>E343*C343</f>
        <v>0</v>
      </c>
      <c r="E343" s="39"/>
      <c r="F343" s="205">
        <v>4780023327600</v>
      </c>
      <c r="G343" s="112">
        <v>0.56999999999999995</v>
      </c>
      <c r="H343" s="136">
        <f>G343*D343</f>
        <v>0</v>
      </c>
      <c r="I343" s="144">
        <v>3402209000</v>
      </c>
    </row>
    <row r="344" spans="1:15" ht="15.6" x14ac:dyDescent="0.3">
      <c r="A344" s="2">
        <v>2</v>
      </c>
      <c r="B344" s="102" t="s">
        <v>51</v>
      </c>
      <c r="C344" s="62">
        <v>12</v>
      </c>
      <c r="D344" s="8">
        <f>E344*C344</f>
        <v>0</v>
      </c>
      <c r="E344" s="39"/>
      <c r="F344" s="205">
        <v>4780023327594</v>
      </c>
      <c r="G344" s="112">
        <v>0.56999999999999995</v>
      </c>
      <c r="H344" s="136">
        <f>G344*D344</f>
        <v>0</v>
      </c>
      <c r="I344" s="144">
        <v>3402209000</v>
      </c>
    </row>
    <row r="345" spans="1:15" ht="15.6" x14ac:dyDescent="0.3">
      <c r="A345" s="2">
        <v>3</v>
      </c>
      <c r="B345" s="102" t="s">
        <v>52</v>
      </c>
      <c r="C345" s="62">
        <v>12</v>
      </c>
      <c r="D345" s="8">
        <f>E345*C345</f>
        <v>0</v>
      </c>
      <c r="E345" s="39"/>
      <c r="F345" s="205">
        <v>4780023327686</v>
      </c>
      <c r="G345" s="112">
        <v>0.75</v>
      </c>
      <c r="H345" s="136">
        <f>G345*D345</f>
        <v>0</v>
      </c>
      <c r="I345" s="144">
        <v>3402209000</v>
      </c>
    </row>
    <row r="346" spans="1:15" ht="15.6" x14ac:dyDescent="0.3">
      <c r="A346" s="2">
        <v>4</v>
      </c>
      <c r="B346" s="102" t="s">
        <v>53</v>
      </c>
      <c r="C346" s="62">
        <v>12</v>
      </c>
      <c r="D346" s="8">
        <f>E346*C346</f>
        <v>0</v>
      </c>
      <c r="E346" s="39"/>
      <c r="F346" s="205">
        <v>4780023327679</v>
      </c>
      <c r="G346" s="112">
        <v>0.97</v>
      </c>
      <c r="H346" s="136">
        <f>G346*D346</f>
        <v>0</v>
      </c>
      <c r="I346" s="144">
        <v>3402209000</v>
      </c>
    </row>
    <row r="347" spans="1:15" ht="31.2" x14ac:dyDescent="0.3">
      <c r="A347" s="2">
        <v>5</v>
      </c>
      <c r="B347" s="102" t="s">
        <v>54</v>
      </c>
      <c r="C347" s="62">
        <v>12</v>
      </c>
      <c r="D347" s="8">
        <f>E347*C347</f>
        <v>0</v>
      </c>
      <c r="E347" s="39"/>
      <c r="F347" s="205">
        <v>4780023327662</v>
      </c>
      <c r="G347" s="112">
        <v>0.97</v>
      </c>
      <c r="H347" s="136">
        <f>G347*D347</f>
        <v>0</v>
      </c>
      <c r="I347" s="144">
        <v>3402209000</v>
      </c>
    </row>
    <row r="349" spans="1:15" ht="32.4" x14ac:dyDescent="0.3">
      <c r="A349" s="104" t="s">
        <v>142</v>
      </c>
      <c r="B349" s="104" t="s">
        <v>168</v>
      </c>
      <c r="C349" s="114">
        <v>20</v>
      </c>
      <c r="D349" s="113">
        <f>C349*E349</f>
        <v>0</v>
      </c>
      <c r="E349" s="210"/>
      <c r="F349" s="121">
        <v>4780023322568</v>
      </c>
      <c r="G349" s="139">
        <v>0.82</v>
      </c>
      <c r="H349" s="136">
        <f>G349*D349</f>
        <v>0</v>
      </c>
      <c r="I349" s="147" t="s">
        <v>211</v>
      </c>
      <c r="J349" s="98"/>
      <c r="K349" s="98"/>
      <c r="L349" s="100"/>
      <c r="M349" s="100"/>
      <c r="N349" s="101"/>
      <c r="O349" s="98"/>
    </row>
    <row r="350" spans="1:15" ht="15.6" x14ac:dyDescent="0.3">
      <c r="A350" s="2"/>
      <c r="B350" s="188"/>
      <c r="C350" s="2"/>
      <c r="D350" s="8"/>
      <c r="E350" s="160"/>
      <c r="F350" s="120"/>
      <c r="G350" s="112"/>
      <c r="H350" s="137"/>
      <c r="I350" s="147" t="s">
        <v>211</v>
      </c>
      <c r="J350" s="98"/>
      <c r="K350" s="98"/>
      <c r="L350" s="100"/>
      <c r="M350" s="100"/>
      <c r="N350" s="101"/>
      <c r="O350" s="98"/>
    </row>
    <row r="351" spans="1:15" ht="16.2" x14ac:dyDescent="0.35">
      <c r="B351" s="125" t="s">
        <v>288</v>
      </c>
      <c r="C351" s="10"/>
      <c r="D351" s="12"/>
      <c r="E351" s="12"/>
      <c r="F351" s="4">
        <f>E342+E349+E339+E330+E321+E312+E310+E272+E268+E256+E244+E236+E223+E212+E140+E126+E104+E89+E201+E95+E112+E229+E97+E84+E79+E47+E5+E303+E276+E205+E93+E134+E238+E120+E291+E146+E196+E191+E186+E175+E169+E181+E163+E157+E151+E248+E107</f>
        <v>0</v>
      </c>
      <c r="G351" s="142"/>
    </row>
    <row r="352" spans="1:15" ht="16.2" x14ac:dyDescent="0.35">
      <c r="B352" s="125" t="s">
        <v>289</v>
      </c>
      <c r="C352" s="10"/>
      <c r="D352" s="12"/>
      <c r="E352" s="12"/>
      <c r="F352" s="4">
        <f>D342+D349+D339+D330+D321+D312+D310+D272+D268+D256+D196+D191+D244+D236+D223+D212+D140+D126+D104+D89+D201+D95+D112+D229+D97+D84+D79+D47+D5+D303+D276+D205+D93+D134+D238+D120+D291+D146+D175+D169+D181+D163+D157+D151+D186+D248+D107</f>
        <v>0</v>
      </c>
      <c r="G352" s="142"/>
    </row>
    <row r="353" spans="2:7" ht="16.2" x14ac:dyDescent="0.35">
      <c r="B353" s="125" t="s">
        <v>201</v>
      </c>
      <c r="C353" s="10"/>
      <c r="D353" s="12"/>
      <c r="E353" s="12"/>
      <c r="F353" s="132">
        <f>'логист.данные  logistic dim'!K74</f>
        <v>0</v>
      </c>
      <c r="G353" s="142"/>
    </row>
    <row r="354" spans="2:7" ht="16.2" x14ac:dyDescent="0.35">
      <c r="B354" s="125" t="s">
        <v>202</v>
      </c>
      <c r="C354" s="10"/>
      <c r="D354" s="12"/>
      <c r="E354" s="12"/>
      <c r="F354" s="132">
        <f>'логист.данные  logistic dim'!L74</f>
        <v>0</v>
      </c>
      <c r="G354" s="142"/>
    </row>
    <row r="355" spans="2:7" ht="16.2" x14ac:dyDescent="0.35">
      <c r="B355" s="125" t="s">
        <v>11</v>
      </c>
      <c r="C355" s="10"/>
      <c r="D355" s="12"/>
      <c r="E355" s="12"/>
      <c r="F355" s="63">
        <f>'логист.данные  logistic dim'!M74</f>
        <v>0</v>
      </c>
      <c r="G355" s="142"/>
    </row>
    <row r="356" spans="2:7" ht="16.2" x14ac:dyDescent="0.35">
      <c r="B356" s="125" t="s">
        <v>186</v>
      </c>
      <c r="C356" s="10"/>
      <c r="D356" s="12"/>
      <c r="E356" s="12"/>
      <c r="F356" s="63" t="e">
        <f>H339+H330+H321+H312+H310+H342+H256+H244+H126+H112+H201+H89+H95+H191+H196+H223+H212+H229+H140+H272+H268+H104+H97+H349+H84+H79+H47+H5+H236+H303+H276+H205+H93+H134+H291+H238+H120+H146+H186+H175+H169+H181+H163+H157+H151+#REF!</f>
        <v>#REF!</v>
      </c>
      <c r="G356" s="142"/>
    </row>
    <row r="357" spans="2:7" x14ac:dyDescent="0.25">
      <c r="C357" s="10"/>
      <c r="D357" s="12"/>
      <c r="E357" s="12"/>
      <c r="F357" s="48"/>
      <c r="G357" s="142"/>
    </row>
  </sheetData>
  <sheetProtection selectLockedCells="1"/>
  <protectedRanges>
    <protectedRange password="CE0A" sqref="D1:E1 B1 D271 D113:D116" name="Диапазон1"/>
  </protectedRanges>
  <autoFilter ref="A4:U347" xr:uid="{00000000-0001-0000-0000-000000000000}"/>
  <mergeCells count="2">
    <mergeCell ref="A1:B1"/>
    <mergeCell ref="C2:D2"/>
  </mergeCells>
  <phoneticPr fontId="10" type="noConversion"/>
  <hyperlinks>
    <hyperlink ref="B2" r:id="rId1" display="www.eclair.uz " xr:uid="{00000000-0004-0000-0000-000000000000}"/>
    <hyperlink ref="E2" r:id="rId2" xr:uid="{00000000-0004-0000-0000-000001000000}"/>
  </hyperlinks>
  <printOptions horizontalCentered="1" verticalCentered="1"/>
  <pageMargins left="0" right="0" top="0" bottom="0" header="0.15748031496062992" footer="0"/>
  <pageSetup paperSize="9" scale="78" fitToWidth="2" fitToHeight="4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8"/>
  <sheetViews>
    <sheetView zoomScale="175" zoomScaleNormal="175" workbookViewId="0">
      <pane xSplit="1" ySplit="2" topLeftCell="B57" activePane="bottomRight" state="frozen"/>
      <selection pane="topRight" activeCell="B1" sqref="B1"/>
      <selection pane="bottomLeft" activeCell="A3" sqref="A3"/>
      <selection pane="bottomRight" activeCell="J69" sqref="J69"/>
    </sheetView>
  </sheetViews>
  <sheetFormatPr defaultColWidth="8.88671875" defaultRowHeight="13.8" x14ac:dyDescent="0.3"/>
  <cols>
    <col min="1" max="1" width="4.5546875" style="70" customWidth="1"/>
    <col min="2" max="2" width="6.5546875" style="70" bestFit="1" customWidth="1"/>
    <col min="3" max="3" width="38.44140625" style="70" customWidth="1"/>
    <col min="4" max="4" width="9.6640625" style="75" customWidth="1"/>
    <col min="5" max="5" width="8.88671875" style="75" customWidth="1"/>
    <col min="6" max="6" width="9.109375" style="75" customWidth="1"/>
    <col min="7" max="7" width="8.44140625" style="74" customWidth="1"/>
    <col min="8" max="9" width="7.5546875" style="73" customWidth="1"/>
    <col min="10" max="10" width="11.109375" style="72" bestFit="1" customWidth="1"/>
    <col min="11" max="12" width="12" style="71" customWidth="1"/>
    <col min="13" max="13" width="12.88671875" style="71" customWidth="1"/>
    <col min="14" max="15" width="10" style="70" bestFit="1" customWidth="1"/>
    <col min="16" max="16384" width="8.88671875" style="70"/>
  </cols>
  <sheetData>
    <row r="1" spans="1:13" ht="26.4" x14ac:dyDescent="0.25">
      <c r="A1" s="97" t="s">
        <v>0</v>
      </c>
      <c r="B1" s="97" t="s">
        <v>1</v>
      </c>
      <c r="C1" s="96" t="s">
        <v>9</v>
      </c>
      <c r="D1" s="218" t="s">
        <v>2</v>
      </c>
      <c r="E1" s="218"/>
      <c r="F1" s="218"/>
      <c r="G1" s="218"/>
      <c r="H1" s="218"/>
      <c r="I1" s="97"/>
      <c r="J1" s="95"/>
      <c r="K1" s="94"/>
      <c r="L1" s="94"/>
      <c r="M1" s="94"/>
    </row>
    <row r="2" spans="1:13" ht="39.6" x14ac:dyDescent="0.25">
      <c r="A2" s="81"/>
      <c r="B2" s="81"/>
      <c r="C2" s="93"/>
      <c r="D2" s="92" t="s">
        <v>3</v>
      </c>
      <c r="E2" s="92" t="s">
        <v>4</v>
      </c>
      <c r="F2" s="92" t="s">
        <v>5</v>
      </c>
      <c r="G2" s="91" t="s">
        <v>6</v>
      </c>
      <c r="H2" s="90" t="s">
        <v>12</v>
      </c>
      <c r="I2" s="90" t="s">
        <v>199</v>
      </c>
      <c r="J2" s="90" t="s">
        <v>10</v>
      </c>
      <c r="K2" s="90" t="s">
        <v>13</v>
      </c>
      <c r="L2" s="90" t="s">
        <v>200</v>
      </c>
      <c r="M2" s="90" t="s">
        <v>7</v>
      </c>
    </row>
    <row r="3" spans="1:13" ht="55.2" x14ac:dyDescent="0.3">
      <c r="A3" s="82">
        <v>1</v>
      </c>
      <c r="B3" s="87"/>
      <c r="C3" s="80" t="s">
        <v>18</v>
      </c>
      <c r="D3" s="79">
        <v>0.28999999999999998</v>
      </c>
      <c r="E3" s="79">
        <v>0.26</v>
      </c>
      <c r="F3" s="86">
        <v>0.17399999999999999</v>
      </c>
      <c r="G3" s="89">
        <f>ROUND(D3*E3*F3,4)</f>
        <v>1.3100000000000001E-2</v>
      </c>
      <c r="H3" s="86">
        <v>3.68</v>
      </c>
      <c r="I3" s="86">
        <v>3.504</v>
      </c>
      <c r="J3" s="84">
        <f>'заказ-order'!E5</f>
        <v>0</v>
      </c>
      <c r="K3" s="130">
        <f>H3*J3</f>
        <v>0</v>
      </c>
      <c r="L3" s="130">
        <f>I3*J3</f>
        <v>0</v>
      </c>
      <c r="M3" s="83">
        <f>J3*D3*E3*F3</f>
        <v>0</v>
      </c>
    </row>
    <row r="4" spans="1:13" ht="41.4" x14ac:dyDescent="0.3">
      <c r="A4" s="82">
        <v>3</v>
      </c>
      <c r="B4" s="87"/>
      <c r="C4" s="80" t="s">
        <v>164</v>
      </c>
      <c r="D4" s="79">
        <v>0.28999999999999998</v>
      </c>
      <c r="E4" s="79">
        <v>0.19800000000000001</v>
      </c>
      <c r="F4" s="79">
        <v>0.17299999999999999</v>
      </c>
      <c r="G4" s="89">
        <f t="shared" ref="G4" si="0">ROUND(D4*E4*F4,4)</f>
        <v>9.9000000000000008E-3</v>
      </c>
      <c r="H4" s="86">
        <v>2.58</v>
      </c>
      <c r="I4" s="86">
        <v>2.448</v>
      </c>
      <c r="J4" s="84">
        <f>'заказ-order'!E47</f>
        <v>0</v>
      </c>
      <c r="K4" s="130">
        <f t="shared" ref="K4:K7" si="1">H4*J4</f>
        <v>0</v>
      </c>
      <c r="L4" s="130">
        <f t="shared" ref="L4:L71" si="2">I4*J4</f>
        <v>0</v>
      </c>
      <c r="M4" s="83">
        <f t="shared" ref="M4:M7" si="3">J4*D4*E4*F4</f>
        <v>0</v>
      </c>
    </row>
    <row r="5" spans="1:13" ht="41.4" x14ac:dyDescent="0.3">
      <c r="A5" s="82">
        <v>4</v>
      </c>
      <c r="B5" s="87"/>
      <c r="C5" s="80" t="s">
        <v>73</v>
      </c>
      <c r="D5" s="79">
        <v>0.23799999999999999</v>
      </c>
      <c r="E5" s="79">
        <v>0.19</v>
      </c>
      <c r="F5" s="86">
        <v>0.13</v>
      </c>
      <c r="G5" s="89">
        <f>ROUND(D5*E5*F5,4)</f>
        <v>5.8999999999999999E-3</v>
      </c>
      <c r="H5" s="86">
        <v>1.8</v>
      </c>
      <c r="I5" s="86">
        <v>1.68</v>
      </c>
      <c r="J5" s="84">
        <f>'заказ-order'!E79</f>
        <v>0</v>
      </c>
      <c r="K5" s="130">
        <f>H5*J5</f>
        <v>0</v>
      </c>
      <c r="L5" s="130">
        <f>I5*J5</f>
        <v>0</v>
      </c>
      <c r="M5" s="83">
        <f>J5*D5*E5*F5</f>
        <v>0</v>
      </c>
    </row>
    <row r="6" spans="1:13" ht="41.4" x14ac:dyDescent="0.3">
      <c r="A6" s="82">
        <v>5</v>
      </c>
      <c r="B6" s="87"/>
      <c r="C6" s="80" t="s">
        <v>165</v>
      </c>
      <c r="D6" s="79">
        <v>0.41499999999999998</v>
      </c>
      <c r="E6" s="79">
        <v>0.28000000000000003</v>
      </c>
      <c r="F6" s="86">
        <v>0.18</v>
      </c>
      <c r="G6" s="89">
        <f t="shared" ref="G6:G7" si="4">ROUND(D6*E6*F6,4)</f>
        <v>2.0899999999999998E-2</v>
      </c>
      <c r="H6" s="86">
        <v>3.48</v>
      </c>
      <c r="I6" s="86">
        <v>3.22</v>
      </c>
      <c r="J6" s="84">
        <f>'заказ-order'!E85</f>
        <v>0</v>
      </c>
      <c r="K6" s="130">
        <f t="shared" si="1"/>
        <v>0</v>
      </c>
      <c r="L6" s="130">
        <f t="shared" si="2"/>
        <v>0</v>
      </c>
      <c r="M6" s="83">
        <f t="shared" si="3"/>
        <v>0</v>
      </c>
    </row>
    <row r="7" spans="1:13" ht="41.4" x14ac:dyDescent="0.3">
      <c r="A7" s="82">
        <v>6</v>
      </c>
      <c r="B7" s="87"/>
      <c r="C7" s="80" t="s">
        <v>166</v>
      </c>
      <c r="D7" s="79">
        <v>0.33</v>
      </c>
      <c r="E7" s="79">
        <v>0.23499999999999999</v>
      </c>
      <c r="F7" s="86">
        <v>0.18</v>
      </c>
      <c r="G7" s="89">
        <f t="shared" si="4"/>
        <v>1.4E-2</v>
      </c>
      <c r="H7" s="86">
        <v>2.3159999999999998</v>
      </c>
      <c r="I7" s="86">
        <v>2.12</v>
      </c>
      <c r="J7" s="84">
        <f>'заказ-order'!E86</f>
        <v>0</v>
      </c>
      <c r="K7" s="130">
        <f t="shared" si="1"/>
        <v>0</v>
      </c>
      <c r="L7" s="130">
        <f t="shared" si="2"/>
        <v>0</v>
      </c>
      <c r="M7" s="83">
        <f t="shared" si="3"/>
        <v>0</v>
      </c>
    </row>
    <row r="8" spans="1:13" ht="55.2" x14ac:dyDescent="0.3">
      <c r="A8" s="82">
        <v>7</v>
      </c>
      <c r="B8" s="87"/>
      <c r="C8" s="80" t="s">
        <v>274</v>
      </c>
      <c r="D8" s="79">
        <v>0.32800000000000001</v>
      </c>
      <c r="E8" s="79">
        <v>0.19400000000000001</v>
      </c>
      <c r="F8" s="86">
        <v>0.25900000000000001</v>
      </c>
      <c r="G8" s="89">
        <f>ROUND(D8*E8*F8,4)</f>
        <v>1.6500000000000001E-2</v>
      </c>
      <c r="H8" s="86">
        <v>4.9000000000000004</v>
      </c>
      <c r="I8" s="86">
        <v>4.68</v>
      </c>
      <c r="J8" s="84">
        <f>'заказ-order'!E89</f>
        <v>0</v>
      </c>
      <c r="K8" s="130">
        <f>H8*J8</f>
        <v>0</v>
      </c>
      <c r="L8" s="130">
        <f>I8*J8</f>
        <v>0</v>
      </c>
      <c r="M8" s="83">
        <f>J8*D8*E8*F8</f>
        <v>0</v>
      </c>
    </row>
    <row r="9" spans="1:13" ht="41.4" x14ac:dyDescent="0.3">
      <c r="A9" s="82">
        <v>8</v>
      </c>
      <c r="B9" s="87"/>
      <c r="C9" s="80" t="s">
        <v>170</v>
      </c>
      <c r="D9" s="79">
        <v>0.375</v>
      </c>
      <c r="E9" s="79">
        <v>0.495</v>
      </c>
      <c r="F9" s="86">
        <v>0.19</v>
      </c>
      <c r="G9" s="89">
        <f>ROUND(D9*E9*F9,4)</f>
        <v>3.5299999999999998E-2</v>
      </c>
      <c r="H9" s="86">
        <v>12.34</v>
      </c>
      <c r="I9" s="86">
        <v>11.6</v>
      </c>
      <c r="J9" s="84">
        <f>'заказ-order'!E93</f>
        <v>0</v>
      </c>
      <c r="K9" s="130">
        <f>H9*J9</f>
        <v>0</v>
      </c>
      <c r="L9" s="130">
        <f>I9*J9</f>
        <v>0</v>
      </c>
      <c r="M9" s="83">
        <f>J9*D9*E9*F9</f>
        <v>0</v>
      </c>
    </row>
    <row r="10" spans="1:13" ht="27.6" x14ac:dyDescent="0.3">
      <c r="A10" s="82">
        <v>9</v>
      </c>
      <c r="B10" s="87"/>
      <c r="C10" s="80" t="s">
        <v>406</v>
      </c>
      <c r="D10" s="88">
        <v>0.26200000000000001</v>
      </c>
      <c r="E10" s="88">
        <v>0.23699999999999999</v>
      </c>
      <c r="F10" s="85">
        <v>0.22</v>
      </c>
      <c r="G10" s="89">
        <f>ROUND(D10*E10*F10,4)</f>
        <v>1.37E-2</v>
      </c>
      <c r="H10" s="85">
        <v>8.16</v>
      </c>
      <c r="I10" s="85">
        <v>7.98</v>
      </c>
      <c r="J10" s="84">
        <f>'заказ-order'!E95</f>
        <v>0</v>
      </c>
      <c r="K10" s="130">
        <f>H10*J10</f>
        <v>0</v>
      </c>
      <c r="L10" s="130">
        <f>I10*J10</f>
        <v>0</v>
      </c>
      <c r="M10" s="83">
        <f>J10*D10*E10*F10</f>
        <v>0</v>
      </c>
    </row>
    <row r="11" spans="1:13" ht="27.6" x14ac:dyDescent="0.3">
      <c r="A11" s="82">
        <v>10</v>
      </c>
      <c r="B11" s="87"/>
      <c r="C11" s="80" t="s">
        <v>380</v>
      </c>
      <c r="D11" s="88">
        <v>0.33</v>
      </c>
      <c r="E11" s="88">
        <v>0.16500000000000001</v>
      </c>
      <c r="F11" s="85">
        <v>0.255</v>
      </c>
      <c r="G11" s="89">
        <f t="shared" ref="G11:G70" si="5">ROUND(D11*E11*F11,4)</f>
        <v>1.3899999999999999E-2</v>
      </c>
      <c r="H11" s="85">
        <v>8.02</v>
      </c>
      <c r="I11" s="85">
        <v>7.84</v>
      </c>
      <c r="J11" s="84">
        <f>'заказ-order'!E97</f>
        <v>0</v>
      </c>
      <c r="K11" s="130">
        <f t="shared" ref="K11:K59" si="6">H11*J11</f>
        <v>0</v>
      </c>
      <c r="L11" s="130">
        <f t="shared" ref="L11:L65" si="7">I11*J11</f>
        <v>0</v>
      </c>
      <c r="M11" s="83">
        <f t="shared" ref="M11:M66" si="8">J11*D11*E11*F11</f>
        <v>0</v>
      </c>
    </row>
    <row r="12" spans="1:13" ht="27.6" x14ac:dyDescent="0.3">
      <c r="A12" s="82">
        <v>11</v>
      </c>
      <c r="B12" s="87"/>
      <c r="C12" s="80" t="s">
        <v>381</v>
      </c>
      <c r="D12" s="88">
        <v>0.33</v>
      </c>
      <c r="E12" s="88">
        <v>0.16500000000000001</v>
      </c>
      <c r="F12" s="85">
        <v>0.255</v>
      </c>
      <c r="G12" s="89">
        <f>ROUND(D12*E12*F12,4)</f>
        <v>1.3899999999999999E-2</v>
      </c>
      <c r="H12" s="86">
        <v>8</v>
      </c>
      <c r="I12" s="86">
        <v>7.82</v>
      </c>
      <c r="J12" s="84">
        <f>'заказ-order'!E104</f>
        <v>0</v>
      </c>
      <c r="K12" s="130">
        <f>H12*J12</f>
        <v>0</v>
      </c>
      <c r="L12" s="130">
        <f>I12*J12</f>
        <v>0</v>
      </c>
      <c r="M12" s="83">
        <f>J12*D12*E12*F12</f>
        <v>0</v>
      </c>
    </row>
    <row r="13" spans="1:13" ht="27.6" x14ac:dyDescent="0.3">
      <c r="A13" s="82">
        <v>12</v>
      </c>
      <c r="B13" s="87"/>
      <c r="C13" s="80" t="s">
        <v>379</v>
      </c>
      <c r="D13" s="88">
        <v>0.27</v>
      </c>
      <c r="E13" s="88">
        <v>0.19500000000000001</v>
      </c>
      <c r="F13" s="85">
        <v>0.25800000000000001</v>
      </c>
      <c r="G13" s="89">
        <f t="shared" ref="G13" si="9">ROUND(D13*E13*F13,4)</f>
        <v>1.3599999999999999E-2</v>
      </c>
      <c r="H13" s="85">
        <v>7.44</v>
      </c>
      <c r="I13" s="85">
        <v>7.28</v>
      </c>
      <c r="J13" s="84">
        <f>+'заказ-order'!E107</f>
        <v>0</v>
      </c>
      <c r="K13" s="130">
        <f t="shared" ref="K13" si="10">H13*J13</f>
        <v>0</v>
      </c>
      <c r="L13" s="130">
        <f t="shared" ref="L13" si="11">I13*J13</f>
        <v>0</v>
      </c>
      <c r="M13" s="83">
        <f t="shared" ref="M13" si="12">J13*D13*E13*F13</f>
        <v>0</v>
      </c>
    </row>
    <row r="14" spans="1:13" ht="27.6" x14ac:dyDescent="0.3">
      <c r="A14" s="82">
        <v>13</v>
      </c>
      <c r="B14" s="87"/>
      <c r="C14" s="80" t="s">
        <v>79</v>
      </c>
      <c r="D14" s="88">
        <v>0.26200000000000001</v>
      </c>
      <c r="E14" s="88">
        <v>0.23699999999999999</v>
      </c>
      <c r="F14" s="85">
        <v>0.22</v>
      </c>
      <c r="G14" s="89">
        <f t="shared" si="5"/>
        <v>1.37E-2</v>
      </c>
      <c r="H14" s="86">
        <v>8.14</v>
      </c>
      <c r="I14" s="86">
        <v>7.96</v>
      </c>
      <c r="J14" s="84">
        <f>'заказ-order'!E112</f>
        <v>0</v>
      </c>
      <c r="K14" s="130">
        <f t="shared" si="6"/>
        <v>0</v>
      </c>
      <c r="L14" s="130">
        <f t="shared" si="7"/>
        <v>0</v>
      </c>
      <c r="M14" s="83">
        <f t="shared" si="8"/>
        <v>0</v>
      </c>
    </row>
    <row r="15" spans="1:13" ht="41.4" x14ac:dyDescent="0.3">
      <c r="A15" s="82">
        <v>14</v>
      </c>
      <c r="B15" s="87"/>
      <c r="C15" s="80" t="s">
        <v>290</v>
      </c>
      <c r="D15" s="79">
        <v>0.3</v>
      </c>
      <c r="E15" s="79">
        <v>0.17799999999999999</v>
      </c>
      <c r="F15" s="86">
        <v>0.191</v>
      </c>
      <c r="G15" s="89">
        <f t="shared" ref="G15" si="13">ROUND(D15*E15*F15,4)</f>
        <v>1.0200000000000001E-2</v>
      </c>
      <c r="H15" s="86">
        <v>5.58</v>
      </c>
      <c r="I15" s="86">
        <v>5.6</v>
      </c>
      <c r="J15" s="84">
        <f>'заказ-order'!E120</f>
        <v>0</v>
      </c>
      <c r="K15" s="130">
        <f t="shared" ref="K15" si="14">H15*J15</f>
        <v>0</v>
      </c>
      <c r="L15" s="130">
        <f t="shared" ref="L15" si="15">I15*J15</f>
        <v>0</v>
      </c>
      <c r="M15" s="83">
        <f t="shared" ref="M15" si="16">J15*D15*E15*F15</f>
        <v>0</v>
      </c>
    </row>
    <row r="16" spans="1:13" ht="41.4" x14ac:dyDescent="0.3">
      <c r="A16" s="82">
        <v>15</v>
      </c>
      <c r="B16" s="87"/>
      <c r="C16" s="80" t="s">
        <v>167</v>
      </c>
      <c r="D16" s="79">
        <v>0.26500000000000001</v>
      </c>
      <c r="E16" s="79">
        <v>0.26500000000000001</v>
      </c>
      <c r="F16" s="86">
        <v>0.22</v>
      </c>
      <c r="G16" s="89">
        <f>ROUND(D16*E16*F16,4)</f>
        <v>1.54E-2</v>
      </c>
      <c r="H16" s="86">
        <v>10.02</v>
      </c>
      <c r="I16" s="86">
        <v>9.82</v>
      </c>
      <c r="J16" s="84">
        <f>'заказ-order'!E126</f>
        <v>0</v>
      </c>
      <c r="K16" s="130">
        <f>H16*J16</f>
        <v>0</v>
      </c>
      <c r="L16" s="130">
        <f>I16*J16</f>
        <v>0</v>
      </c>
      <c r="M16" s="83">
        <f>J16*D16*E16*F16</f>
        <v>0</v>
      </c>
    </row>
    <row r="17" spans="1:13" ht="27.6" x14ac:dyDescent="0.3">
      <c r="A17" s="82">
        <v>16</v>
      </c>
      <c r="B17" s="87"/>
      <c r="C17" s="80" t="s">
        <v>251</v>
      </c>
      <c r="D17" s="88">
        <v>0.32400000000000001</v>
      </c>
      <c r="E17" s="88">
        <v>0.16400000000000001</v>
      </c>
      <c r="F17" s="85">
        <v>0.29299999999999998</v>
      </c>
      <c r="G17" s="89">
        <f t="shared" ref="G17" si="17">ROUND(D17*E17*F17,4)</f>
        <v>1.5599999999999999E-2</v>
      </c>
      <c r="H17" s="86">
        <v>8.8800000000000008</v>
      </c>
      <c r="I17" s="86">
        <v>8.68</v>
      </c>
      <c r="J17" s="84">
        <f>'заказ-order'!E134</f>
        <v>0</v>
      </c>
      <c r="K17" s="130">
        <f t="shared" ref="K17" si="18">H17*J17</f>
        <v>0</v>
      </c>
      <c r="L17" s="130">
        <f t="shared" ref="L17" si="19">I17*J17</f>
        <v>0</v>
      </c>
      <c r="M17" s="83">
        <f t="shared" ref="M17" si="20">J17*D17*E17*F17</f>
        <v>0</v>
      </c>
    </row>
    <row r="18" spans="1:13" ht="41.4" x14ac:dyDescent="0.3">
      <c r="A18" s="82">
        <v>17</v>
      </c>
      <c r="B18" s="87"/>
      <c r="C18" s="80" t="s">
        <v>148</v>
      </c>
      <c r="D18" s="79">
        <v>0.27500000000000002</v>
      </c>
      <c r="E18" s="79">
        <v>0.26500000000000001</v>
      </c>
      <c r="F18" s="86">
        <v>0.22500000000000001</v>
      </c>
      <c r="G18" s="89">
        <f>ROUND(D18*E18*F18,4)</f>
        <v>1.6400000000000001E-2</v>
      </c>
      <c r="H18" s="86">
        <v>9.9600000000000009</v>
      </c>
      <c r="I18" s="86">
        <v>9.76</v>
      </c>
      <c r="J18" s="84">
        <f>'заказ-order'!E140</f>
        <v>0</v>
      </c>
      <c r="K18" s="130">
        <f>H18*J18</f>
        <v>0</v>
      </c>
      <c r="L18" s="130">
        <f>I18*J18</f>
        <v>0</v>
      </c>
      <c r="M18" s="83">
        <f>J18*D18*E18*F18</f>
        <v>0</v>
      </c>
    </row>
    <row r="19" spans="1:13" ht="41.4" x14ac:dyDescent="0.3">
      <c r="A19" s="82">
        <v>18</v>
      </c>
      <c r="B19" s="87"/>
      <c r="C19" s="80" t="s">
        <v>314</v>
      </c>
      <c r="D19" s="79">
        <v>0.32400000000000001</v>
      </c>
      <c r="E19" s="79">
        <v>0.16400000000000001</v>
      </c>
      <c r="F19" s="86">
        <v>0.29299999999999998</v>
      </c>
      <c r="G19" s="89">
        <f t="shared" si="5"/>
        <v>1.5599999999999999E-2</v>
      </c>
      <c r="H19" s="85">
        <v>8.7880000000000003</v>
      </c>
      <c r="I19" s="85">
        <v>9</v>
      </c>
      <c r="J19" s="84">
        <f>'заказ-order'!E146</f>
        <v>0</v>
      </c>
      <c r="K19" s="130">
        <f t="shared" ref="K19" si="21">H19*J19</f>
        <v>0</v>
      </c>
      <c r="L19" s="130">
        <f t="shared" ref="L19" si="22">I19*J19</f>
        <v>0</v>
      </c>
      <c r="M19" s="83">
        <f t="shared" ref="M19" si="23">J19*D19*E19*F19</f>
        <v>0</v>
      </c>
    </row>
    <row r="20" spans="1:13" ht="41.4" x14ac:dyDescent="0.3">
      <c r="A20" s="82">
        <v>19</v>
      </c>
      <c r="B20" s="87"/>
      <c r="C20" s="80" t="s">
        <v>326</v>
      </c>
      <c r="D20" s="79">
        <v>0.27200000000000002</v>
      </c>
      <c r="E20" s="79">
        <v>0.2</v>
      </c>
      <c r="F20" s="86">
        <v>0.313</v>
      </c>
      <c r="G20" s="89">
        <f t="shared" ref="G20" si="24">ROUND(D20*E20*F20,4)</f>
        <v>1.7000000000000001E-2</v>
      </c>
      <c r="H20" s="85">
        <v>9.74</v>
      </c>
      <c r="I20" s="85">
        <v>9.5039999999999996</v>
      </c>
      <c r="J20" s="84">
        <f>'заказ-order'!E151</f>
        <v>0</v>
      </c>
      <c r="K20" s="130">
        <f t="shared" ref="K20" si="25">H20*J20</f>
        <v>0</v>
      </c>
      <c r="L20" s="130">
        <f t="shared" ref="L20" si="26">I20*J20</f>
        <v>0</v>
      </c>
      <c r="M20" s="83">
        <f t="shared" ref="M20" si="27">J20*D20*E20*F20</f>
        <v>0</v>
      </c>
    </row>
    <row r="21" spans="1:13" ht="41.4" x14ac:dyDescent="0.3">
      <c r="A21" s="82">
        <v>20</v>
      </c>
      <c r="B21" s="87"/>
      <c r="C21" s="80" t="s">
        <v>335</v>
      </c>
      <c r="D21" s="79">
        <v>0.28699999999999998</v>
      </c>
      <c r="E21" s="79">
        <v>0.19</v>
      </c>
      <c r="F21" s="86">
        <v>0.28499999999999998</v>
      </c>
      <c r="G21" s="89">
        <f t="shared" ref="G21:G22" si="28">ROUND(D21*E21*F21,4)</f>
        <v>1.55E-2</v>
      </c>
      <c r="H21" s="85">
        <v>8.23</v>
      </c>
      <c r="I21" s="85">
        <v>8.0739999999999998</v>
      </c>
      <c r="J21" s="84">
        <f>'заказ-order'!E157</f>
        <v>0</v>
      </c>
      <c r="K21" s="130">
        <f t="shared" ref="K21:K22" si="29">H21*J21</f>
        <v>0</v>
      </c>
      <c r="L21" s="130">
        <f t="shared" ref="L21:L22" si="30">I21*J21</f>
        <v>0</v>
      </c>
      <c r="M21" s="83">
        <f t="shared" ref="M21:M22" si="31">J21*D21*E21*F21</f>
        <v>0</v>
      </c>
    </row>
    <row r="22" spans="1:13" ht="41.4" x14ac:dyDescent="0.3">
      <c r="A22" s="82">
        <v>21</v>
      </c>
      <c r="B22" s="87"/>
      <c r="C22" s="80" t="s">
        <v>334</v>
      </c>
      <c r="D22" s="79">
        <v>0.28699999999999998</v>
      </c>
      <c r="E22" s="79">
        <v>0.19</v>
      </c>
      <c r="F22" s="86">
        <v>0.28499999999999998</v>
      </c>
      <c r="G22" s="89">
        <f t="shared" si="28"/>
        <v>1.55E-2</v>
      </c>
      <c r="H22" s="85">
        <v>8.26</v>
      </c>
      <c r="I22" s="85">
        <v>8.06</v>
      </c>
      <c r="J22" s="84">
        <f>'заказ-order'!E163</f>
        <v>0</v>
      </c>
      <c r="K22" s="130">
        <f t="shared" si="29"/>
        <v>0</v>
      </c>
      <c r="L22" s="130">
        <f t="shared" si="30"/>
        <v>0</v>
      </c>
      <c r="M22" s="83">
        <f t="shared" si="31"/>
        <v>0</v>
      </c>
    </row>
    <row r="23" spans="1:13" ht="41.4" x14ac:dyDescent="0.3">
      <c r="A23" s="82">
        <v>22</v>
      </c>
      <c r="B23" s="87"/>
      <c r="C23" s="80" t="s">
        <v>348</v>
      </c>
      <c r="D23" s="79">
        <v>0.28699999999999998</v>
      </c>
      <c r="E23" s="79">
        <v>0.19</v>
      </c>
      <c r="F23" s="86">
        <v>0.28499999999999998</v>
      </c>
      <c r="G23" s="89">
        <f t="shared" ref="G23" si="32">ROUND(D23*E23*F23,4)</f>
        <v>1.55E-2</v>
      </c>
      <c r="H23" s="85">
        <v>8.08</v>
      </c>
      <c r="I23" s="85">
        <v>7.88</v>
      </c>
      <c r="J23" s="84">
        <f>'заказ-order'!E169</f>
        <v>0</v>
      </c>
      <c r="K23" s="130">
        <f t="shared" ref="K23" si="33">H23*J23</f>
        <v>0</v>
      </c>
      <c r="L23" s="130">
        <f t="shared" ref="L23" si="34">I23*J23</f>
        <v>0</v>
      </c>
      <c r="M23" s="83">
        <f t="shared" ref="M23" si="35">J23*D23*E23*F23</f>
        <v>0</v>
      </c>
    </row>
    <row r="24" spans="1:13" ht="27.6" x14ac:dyDescent="0.3">
      <c r="A24" s="82">
        <v>23</v>
      </c>
      <c r="B24" s="87"/>
      <c r="C24" s="80" t="s">
        <v>346</v>
      </c>
      <c r="D24" s="79">
        <v>0.28699999999999998</v>
      </c>
      <c r="E24" s="79">
        <v>0.19</v>
      </c>
      <c r="F24" s="86">
        <v>0.28499999999999998</v>
      </c>
      <c r="G24" s="89">
        <f t="shared" si="5"/>
        <v>1.55E-2</v>
      </c>
      <c r="H24" s="85">
        <v>8.26</v>
      </c>
      <c r="I24" s="85">
        <v>8.06</v>
      </c>
      <c r="J24" s="84">
        <f>'заказ-order'!E175</f>
        <v>0</v>
      </c>
      <c r="K24" s="130">
        <f t="shared" si="6"/>
        <v>0</v>
      </c>
      <c r="L24" s="130">
        <f t="shared" si="7"/>
        <v>0</v>
      </c>
      <c r="M24" s="83">
        <f t="shared" si="8"/>
        <v>0</v>
      </c>
    </row>
    <row r="25" spans="1:13" ht="41.4" x14ac:dyDescent="0.3">
      <c r="A25" s="82">
        <v>24</v>
      </c>
      <c r="B25" s="87"/>
      <c r="C25" s="80" t="s">
        <v>340</v>
      </c>
      <c r="D25" s="79">
        <v>0.28699999999999998</v>
      </c>
      <c r="E25" s="79">
        <v>0.19</v>
      </c>
      <c r="F25" s="86">
        <v>0.28499999999999998</v>
      </c>
      <c r="G25" s="89">
        <f t="shared" ref="G25" si="36">ROUND(D25*E25*F25,4)</f>
        <v>1.55E-2</v>
      </c>
      <c r="H25" s="85">
        <v>8.24</v>
      </c>
      <c r="I25" s="85">
        <v>8.06</v>
      </c>
      <c r="J25" s="84">
        <f>'заказ-order'!E181</f>
        <v>0</v>
      </c>
      <c r="K25" s="130">
        <f t="shared" ref="K25" si="37">H25*J25</f>
        <v>0</v>
      </c>
      <c r="L25" s="130">
        <f t="shared" ref="L25" si="38">I25*J25</f>
        <v>0</v>
      </c>
      <c r="M25" s="83">
        <f t="shared" ref="M25" si="39">J25*D25*E25*F25</f>
        <v>0</v>
      </c>
    </row>
    <row r="26" spans="1:13" ht="41.4" x14ac:dyDescent="0.3">
      <c r="A26" s="82">
        <v>25</v>
      </c>
      <c r="B26" s="87"/>
      <c r="C26" s="80" t="s">
        <v>347</v>
      </c>
      <c r="D26" s="79">
        <v>0.28699999999999998</v>
      </c>
      <c r="E26" s="79">
        <v>0.19</v>
      </c>
      <c r="F26" s="86">
        <v>0.28499999999999998</v>
      </c>
      <c r="G26" s="89">
        <f t="shared" si="5"/>
        <v>1.55E-2</v>
      </c>
      <c r="H26" s="85">
        <v>8.2799999999999994</v>
      </c>
      <c r="I26" s="85">
        <v>8.08</v>
      </c>
      <c r="J26" s="84">
        <f>'заказ-order'!E186</f>
        <v>0</v>
      </c>
      <c r="K26" s="130">
        <f t="shared" si="6"/>
        <v>0</v>
      </c>
      <c r="L26" s="130">
        <f t="shared" si="7"/>
        <v>0</v>
      </c>
      <c r="M26" s="83">
        <f t="shared" si="8"/>
        <v>0</v>
      </c>
    </row>
    <row r="27" spans="1:13" ht="41.4" x14ac:dyDescent="0.3">
      <c r="A27" s="82">
        <v>26</v>
      </c>
      <c r="B27" s="87"/>
      <c r="C27" s="80" t="s">
        <v>372</v>
      </c>
      <c r="D27" s="79">
        <v>0.24</v>
      </c>
      <c r="E27" s="79">
        <v>0.17</v>
      </c>
      <c r="F27" s="86">
        <v>0.17</v>
      </c>
      <c r="G27" s="89">
        <f t="shared" ref="G27:G34" si="40">ROUND(D27*E27*F27,4)</f>
        <v>6.8999999999999999E-3</v>
      </c>
      <c r="H27" s="85">
        <v>2.3340000000000001</v>
      </c>
      <c r="I27" s="85">
        <v>2.2080000000000002</v>
      </c>
      <c r="J27" s="84">
        <f>'заказ-order'!E191</f>
        <v>0</v>
      </c>
      <c r="K27" s="130">
        <f t="shared" ref="K27:K34" si="41">H27*J27</f>
        <v>0</v>
      </c>
      <c r="L27" s="130">
        <f t="shared" ref="L27:L34" si="42">I27*J27</f>
        <v>0</v>
      </c>
      <c r="M27" s="83">
        <f t="shared" ref="M27:M34" si="43">J27*D27*E27*F27</f>
        <v>0</v>
      </c>
    </row>
    <row r="28" spans="1:13" ht="41.4" x14ac:dyDescent="0.3">
      <c r="A28" s="82">
        <v>27</v>
      </c>
      <c r="B28" s="87"/>
      <c r="C28" s="80" t="s">
        <v>373</v>
      </c>
      <c r="D28" s="79">
        <v>0.25</v>
      </c>
      <c r="E28" s="79">
        <v>0.19</v>
      </c>
      <c r="F28" s="86">
        <v>0.13500000000000001</v>
      </c>
      <c r="G28" s="89">
        <f t="shared" si="40"/>
        <v>6.4000000000000003E-3</v>
      </c>
      <c r="H28" s="85">
        <v>1.6759999999999999</v>
      </c>
      <c r="I28" s="85">
        <v>1.536</v>
      </c>
      <c r="J28" s="84">
        <f>'заказ-order'!E196</f>
        <v>0</v>
      </c>
      <c r="K28" s="130">
        <f t="shared" si="41"/>
        <v>0</v>
      </c>
      <c r="L28" s="130">
        <f t="shared" si="42"/>
        <v>0</v>
      </c>
      <c r="M28" s="83">
        <f t="shared" si="43"/>
        <v>0</v>
      </c>
    </row>
    <row r="29" spans="1:13" ht="41.4" x14ac:dyDescent="0.3">
      <c r="A29" s="82">
        <v>28</v>
      </c>
      <c r="B29" s="87"/>
      <c r="C29" s="80" t="s">
        <v>210</v>
      </c>
      <c r="D29" s="79">
        <v>0.31</v>
      </c>
      <c r="E29" s="79">
        <v>0.17799999999999999</v>
      </c>
      <c r="F29" s="86">
        <v>0.193</v>
      </c>
      <c r="G29" s="89">
        <f t="shared" si="40"/>
        <v>1.06E-2</v>
      </c>
      <c r="H29" s="85">
        <v>5.62</v>
      </c>
      <c r="I29" s="85">
        <v>5.44</v>
      </c>
      <c r="J29" s="84">
        <f>'заказ-order'!E201</f>
        <v>0</v>
      </c>
      <c r="K29" s="130">
        <f t="shared" si="41"/>
        <v>0</v>
      </c>
      <c r="L29" s="130">
        <f t="shared" si="42"/>
        <v>0</v>
      </c>
      <c r="M29" s="83">
        <f t="shared" si="43"/>
        <v>0</v>
      </c>
    </row>
    <row r="30" spans="1:13" ht="55.2" x14ac:dyDescent="0.3">
      <c r="A30" s="82">
        <v>29</v>
      </c>
      <c r="B30" s="87"/>
      <c r="C30" s="80" t="s">
        <v>371</v>
      </c>
      <c r="D30" s="79">
        <v>0.26500000000000001</v>
      </c>
      <c r="E30" s="79">
        <v>0.22500000000000001</v>
      </c>
      <c r="F30" s="86">
        <v>0.18</v>
      </c>
      <c r="G30" s="89">
        <f t="shared" si="40"/>
        <v>1.0699999999999999E-2</v>
      </c>
      <c r="H30" s="86">
        <v>5.1230000000000002</v>
      </c>
      <c r="I30" s="86">
        <v>4.9320000000000004</v>
      </c>
      <c r="J30" s="84">
        <f>'заказ-order'!E206</f>
        <v>0</v>
      </c>
      <c r="K30" s="130">
        <f t="shared" si="41"/>
        <v>0</v>
      </c>
      <c r="L30" s="130">
        <f t="shared" si="42"/>
        <v>0</v>
      </c>
      <c r="M30" s="83">
        <f t="shared" si="43"/>
        <v>0</v>
      </c>
    </row>
    <row r="31" spans="1:13" ht="41.4" x14ac:dyDescent="0.3">
      <c r="A31" s="82">
        <v>30</v>
      </c>
      <c r="B31" s="87"/>
      <c r="C31" s="80" t="s">
        <v>370</v>
      </c>
      <c r="D31" s="79">
        <v>0.28999999999999998</v>
      </c>
      <c r="E31" s="79">
        <v>0.18</v>
      </c>
      <c r="F31" s="86">
        <v>0.17</v>
      </c>
      <c r="G31" s="89">
        <f t="shared" si="40"/>
        <v>8.8999999999999999E-3</v>
      </c>
      <c r="H31" s="86">
        <v>3.78</v>
      </c>
      <c r="I31" s="86">
        <v>3.64</v>
      </c>
      <c r="J31" s="84">
        <f>'заказ-order'!E207</f>
        <v>0</v>
      </c>
      <c r="K31" s="130">
        <f t="shared" si="41"/>
        <v>0</v>
      </c>
      <c r="L31" s="130">
        <f t="shared" si="42"/>
        <v>0</v>
      </c>
      <c r="M31" s="83">
        <f t="shared" si="43"/>
        <v>0</v>
      </c>
    </row>
    <row r="32" spans="1:13" ht="41.4" x14ac:dyDescent="0.3">
      <c r="A32" s="82">
        <v>31</v>
      </c>
      <c r="B32" s="87"/>
      <c r="C32" s="80" t="s">
        <v>369</v>
      </c>
      <c r="D32" s="79">
        <v>0.255</v>
      </c>
      <c r="E32" s="79">
        <v>0.185</v>
      </c>
      <c r="F32" s="86">
        <v>0.13500000000000001</v>
      </c>
      <c r="G32" s="89">
        <f t="shared" si="40"/>
        <v>6.4000000000000003E-3</v>
      </c>
      <c r="H32" s="86">
        <v>2.48</v>
      </c>
      <c r="I32" s="86">
        <v>2.359</v>
      </c>
      <c r="J32" s="84">
        <f>'заказ-order'!E208</f>
        <v>0</v>
      </c>
      <c r="K32" s="130">
        <f t="shared" si="41"/>
        <v>0</v>
      </c>
      <c r="L32" s="130">
        <f t="shared" si="42"/>
        <v>0</v>
      </c>
      <c r="M32" s="83">
        <f t="shared" si="43"/>
        <v>0</v>
      </c>
    </row>
    <row r="33" spans="1:13" ht="55.2" x14ac:dyDescent="0.3">
      <c r="A33" s="82">
        <v>32</v>
      </c>
      <c r="B33" s="87"/>
      <c r="C33" s="80" t="s">
        <v>368</v>
      </c>
      <c r="D33" s="79">
        <v>0.26500000000000001</v>
      </c>
      <c r="E33" s="79">
        <v>0.20699999999999999</v>
      </c>
      <c r="F33" s="86">
        <v>0.13500000000000001</v>
      </c>
      <c r="G33" s="89">
        <f t="shared" si="40"/>
        <v>7.4000000000000003E-3</v>
      </c>
      <c r="H33" s="86">
        <v>3.04</v>
      </c>
      <c r="I33" s="86">
        <v>2.9039999999999999</v>
      </c>
      <c r="J33" s="84">
        <f>'заказ-order'!E209</f>
        <v>0</v>
      </c>
      <c r="K33" s="130">
        <f t="shared" si="41"/>
        <v>0</v>
      </c>
      <c r="L33" s="130">
        <f t="shared" si="42"/>
        <v>0</v>
      </c>
      <c r="M33" s="83">
        <f t="shared" si="43"/>
        <v>0</v>
      </c>
    </row>
    <row r="34" spans="1:13" ht="55.2" x14ac:dyDescent="0.3">
      <c r="A34" s="82">
        <v>33</v>
      </c>
      <c r="B34" s="87"/>
      <c r="C34" s="80" t="s">
        <v>367</v>
      </c>
      <c r="D34" s="79">
        <v>0.25800000000000001</v>
      </c>
      <c r="E34" s="79">
        <v>0.17</v>
      </c>
      <c r="F34" s="86">
        <v>0.188</v>
      </c>
      <c r="G34" s="89">
        <f t="shared" si="40"/>
        <v>8.2000000000000007E-3</v>
      </c>
      <c r="H34" s="86">
        <v>4.5599999999999996</v>
      </c>
      <c r="I34" s="86">
        <v>4.4400000000000004</v>
      </c>
      <c r="J34" s="84">
        <f>'заказ-order'!E210</f>
        <v>0</v>
      </c>
      <c r="K34" s="130">
        <f t="shared" si="41"/>
        <v>0</v>
      </c>
      <c r="L34" s="130">
        <f t="shared" si="42"/>
        <v>0</v>
      </c>
      <c r="M34" s="83">
        <f t="shared" si="43"/>
        <v>0</v>
      </c>
    </row>
    <row r="35" spans="1:13" ht="27.6" x14ac:dyDescent="0.3">
      <c r="A35" s="82">
        <v>34</v>
      </c>
      <c r="B35" s="87"/>
      <c r="C35" s="80" t="s">
        <v>375</v>
      </c>
      <c r="D35" s="79">
        <v>0.27</v>
      </c>
      <c r="E35" s="79">
        <v>0.19500000000000001</v>
      </c>
      <c r="F35" s="86">
        <v>0.25800000000000001</v>
      </c>
      <c r="G35" s="89">
        <f t="shared" si="5"/>
        <v>1.3599999999999999E-2</v>
      </c>
      <c r="H35" s="85">
        <v>8.8000000000000007</v>
      </c>
      <c r="I35" s="85">
        <v>8.6</v>
      </c>
      <c r="J35" s="84">
        <f>'заказ-order'!E213</f>
        <v>0</v>
      </c>
      <c r="K35" s="130">
        <f t="shared" si="6"/>
        <v>0</v>
      </c>
      <c r="L35" s="130">
        <f t="shared" si="7"/>
        <v>0</v>
      </c>
      <c r="M35" s="83">
        <f t="shared" si="8"/>
        <v>0</v>
      </c>
    </row>
    <row r="36" spans="1:13" ht="27.6" x14ac:dyDescent="0.3">
      <c r="A36" s="82">
        <v>35</v>
      </c>
      <c r="B36" s="87"/>
      <c r="C36" s="80" t="s">
        <v>173</v>
      </c>
      <c r="D36" s="79">
        <v>0.315</v>
      </c>
      <c r="E36" s="79">
        <v>0.31</v>
      </c>
      <c r="F36" s="86">
        <v>0.18</v>
      </c>
      <c r="G36" s="89">
        <f t="shared" si="5"/>
        <v>1.7600000000000001E-2</v>
      </c>
      <c r="H36" s="85">
        <v>10.1</v>
      </c>
      <c r="I36" s="85">
        <v>9.84</v>
      </c>
      <c r="J36" s="84">
        <f>'заказ-order'!E214</f>
        <v>0</v>
      </c>
      <c r="K36" s="130">
        <f t="shared" si="6"/>
        <v>0</v>
      </c>
      <c r="L36" s="130">
        <f t="shared" si="7"/>
        <v>0</v>
      </c>
      <c r="M36" s="83">
        <f t="shared" si="8"/>
        <v>0</v>
      </c>
    </row>
    <row r="37" spans="1:13" ht="41.4" x14ac:dyDescent="0.3">
      <c r="A37" s="82">
        <v>36</v>
      </c>
      <c r="B37" s="87"/>
      <c r="C37" s="80" t="s">
        <v>333</v>
      </c>
      <c r="D37" s="79">
        <v>0.3</v>
      </c>
      <c r="E37" s="79">
        <v>0.158</v>
      </c>
      <c r="F37" s="86">
        <v>0.16800000000000001</v>
      </c>
      <c r="G37" s="89">
        <f t="shared" ref="G37" si="44">ROUND(D37*E37*F37,4)</f>
        <v>8.0000000000000002E-3</v>
      </c>
      <c r="H37" s="85">
        <v>3.7</v>
      </c>
      <c r="I37" s="85">
        <v>3.58</v>
      </c>
      <c r="J37" s="84">
        <f>'заказ-order'!E215</f>
        <v>0</v>
      </c>
      <c r="K37" s="130">
        <f t="shared" ref="K37" si="45">H37*J37</f>
        <v>0</v>
      </c>
      <c r="L37" s="130">
        <f t="shared" ref="L37" si="46">I37*J37</f>
        <v>0</v>
      </c>
      <c r="M37" s="83">
        <f t="shared" ref="M37" si="47">J37*D37*E37*F37</f>
        <v>0</v>
      </c>
    </row>
    <row r="38" spans="1:13" ht="41.4" x14ac:dyDescent="0.3">
      <c r="A38" s="82">
        <v>37</v>
      </c>
      <c r="B38" s="87"/>
      <c r="C38" s="80" t="s">
        <v>174</v>
      </c>
      <c r="D38" s="79">
        <v>0.3</v>
      </c>
      <c r="E38" s="79">
        <v>0.158</v>
      </c>
      <c r="F38" s="86">
        <v>0.16800000000000001</v>
      </c>
      <c r="G38" s="89">
        <f t="shared" si="5"/>
        <v>8.0000000000000002E-3</v>
      </c>
      <c r="H38" s="85">
        <v>3.18</v>
      </c>
      <c r="I38" s="85">
        <v>3.04</v>
      </c>
      <c r="J38" s="84">
        <f>'заказ-order'!E216</f>
        <v>0</v>
      </c>
      <c r="K38" s="130">
        <f t="shared" si="6"/>
        <v>0</v>
      </c>
      <c r="L38" s="130">
        <f t="shared" si="7"/>
        <v>0</v>
      </c>
      <c r="M38" s="83">
        <f t="shared" si="8"/>
        <v>0</v>
      </c>
    </row>
    <row r="39" spans="1:13" ht="41.4" x14ac:dyDescent="0.3">
      <c r="A39" s="82">
        <v>38</v>
      </c>
      <c r="B39" s="87"/>
      <c r="C39" s="80" t="s">
        <v>175</v>
      </c>
      <c r="D39" s="79">
        <v>0.316</v>
      </c>
      <c r="E39" s="79">
        <v>0.19</v>
      </c>
      <c r="F39" s="86">
        <v>0.17699999999999999</v>
      </c>
      <c r="G39" s="89">
        <f t="shared" si="5"/>
        <v>1.06E-2</v>
      </c>
      <c r="H39" s="85">
        <v>2.72</v>
      </c>
      <c r="I39" s="85">
        <v>2.56</v>
      </c>
      <c r="J39" s="84">
        <f>'заказ-order'!E217</f>
        <v>0</v>
      </c>
      <c r="K39" s="130">
        <f t="shared" si="6"/>
        <v>0</v>
      </c>
      <c r="L39" s="130">
        <f t="shared" si="7"/>
        <v>0</v>
      </c>
      <c r="M39" s="83">
        <f t="shared" si="8"/>
        <v>0</v>
      </c>
    </row>
    <row r="40" spans="1:13" ht="41.4" x14ac:dyDescent="0.3">
      <c r="A40" s="82">
        <v>39</v>
      </c>
      <c r="B40" s="87"/>
      <c r="C40" s="80" t="s">
        <v>176</v>
      </c>
      <c r="D40" s="79">
        <v>0.28499999999999998</v>
      </c>
      <c r="E40" s="79">
        <v>0.215</v>
      </c>
      <c r="F40" s="86">
        <v>0.18</v>
      </c>
      <c r="G40" s="89">
        <f t="shared" si="5"/>
        <v>1.0999999999999999E-2</v>
      </c>
      <c r="H40" s="85">
        <v>6.62</v>
      </c>
      <c r="I40" s="85">
        <v>6.4</v>
      </c>
      <c r="J40" s="84">
        <f>'заказ-order'!E218</f>
        <v>0</v>
      </c>
      <c r="K40" s="130">
        <f t="shared" si="6"/>
        <v>0</v>
      </c>
      <c r="L40" s="130">
        <f t="shared" si="7"/>
        <v>0</v>
      </c>
      <c r="M40" s="83">
        <f t="shared" si="8"/>
        <v>0</v>
      </c>
    </row>
    <row r="41" spans="1:13" ht="41.4" x14ac:dyDescent="0.3">
      <c r="A41" s="82">
        <v>40</v>
      </c>
      <c r="B41" s="87"/>
      <c r="C41" s="80" t="s">
        <v>177</v>
      </c>
      <c r="D41" s="79">
        <v>0.28499999999999998</v>
      </c>
      <c r="E41" s="79">
        <v>0.215</v>
      </c>
      <c r="F41" s="86">
        <v>0.18</v>
      </c>
      <c r="G41" s="89">
        <f t="shared" si="5"/>
        <v>1.0999999999999999E-2</v>
      </c>
      <c r="H41" s="85">
        <v>6.62</v>
      </c>
      <c r="I41" s="85">
        <v>6.4</v>
      </c>
      <c r="J41" s="84">
        <f>'заказ-order'!E219</f>
        <v>0</v>
      </c>
      <c r="K41" s="130">
        <f t="shared" si="6"/>
        <v>0</v>
      </c>
      <c r="L41" s="130">
        <f t="shared" si="7"/>
        <v>0</v>
      </c>
      <c r="M41" s="83">
        <f t="shared" si="8"/>
        <v>0</v>
      </c>
    </row>
    <row r="42" spans="1:13" ht="27.6" x14ac:dyDescent="0.3">
      <c r="A42" s="82">
        <v>41</v>
      </c>
      <c r="B42" s="87"/>
      <c r="C42" s="80" t="s">
        <v>178</v>
      </c>
      <c r="D42" s="79">
        <v>0.215</v>
      </c>
      <c r="E42" s="79">
        <v>0.215</v>
      </c>
      <c r="F42" s="86">
        <v>0.15</v>
      </c>
      <c r="G42" s="89">
        <f t="shared" si="5"/>
        <v>6.8999999999999999E-3</v>
      </c>
      <c r="H42" s="85">
        <v>3.7</v>
      </c>
      <c r="I42" s="85">
        <v>3.52</v>
      </c>
      <c r="J42" s="84">
        <f>'заказ-order'!E220</f>
        <v>0</v>
      </c>
      <c r="K42" s="130">
        <f t="shared" si="6"/>
        <v>0</v>
      </c>
      <c r="L42" s="130">
        <f t="shared" si="7"/>
        <v>0</v>
      </c>
      <c r="M42" s="83">
        <f t="shared" si="8"/>
        <v>0</v>
      </c>
    </row>
    <row r="43" spans="1:13" ht="27.6" x14ac:dyDescent="0.3">
      <c r="A43" s="82">
        <v>42</v>
      </c>
      <c r="B43" s="87"/>
      <c r="C43" s="80" t="s">
        <v>378</v>
      </c>
      <c r="D43" s="79">
        <v>0.34499999999999997</v>
      </c>
      <c r="E43" s="79">
        <v>0.2</v>
      </c>
      <c r="F43" s="86">
        <v>0.14499999999999999</v>
      </c>
      <c r="G43" s="89">
        <f>ROUND(D43*E43*F43,4)</f>
        <v>0.01</v>
      </c>
      <c r="H43" s="86">
        <v>6.54</v>
      </c>
      <c r="I43" s="86">
        <v>6.38</v>
      </c>
      <c r="J43" s="84">
        <f>'заказ-order'!E221</f>
        <v>0</v>
      </c>
      <c r="K43" s="130">
        <f t="shared" ref="K43" si="48">H43*J43</f>
        <v>0</v>
      </c>
      <c r="L43" s="130">
        <f t="shared" ref="L43" si="49">I43*J43</f>
        <v>0</v>
      </c>
      <c r="M43" s="83">
        <f t="shared" ref="M43" si="50">J43*D43*E43*F43</f>
        <v>0</v>
      </c>
    </row>
    <row r="44" spans="1:13" ht="55.2" x14ac:dyDescent="0.3">
      <c r="A44" s="82">
        <v>43</v>
      </c>
      <c r="B44" s="87"/>
      <c r="C44" s="80" t="s">
        <v>179</v>
      </c>
      <c r="D44" s="79">
        <v>0.29499999999999998</v>
      </c>
      <c r="E44" s="79">
        <v>0.16</v>
      </c>
      <c r="F44" s="86">
        <v>0.25</v>
      </c>
      <c r="G44" s="89">
        <f t="shared" si="5"/>
        <v>1.18E-2</v>
      </c>
      <c r="H44" s="85">
        <v>7.2</v>
      </c>
      <c r="I44" s="85">
        <v>7.04</v>
      </c>
      <c r="J44" s="84">
        <f>'заказ-order'!E224</f>
        <v>0</v>
      </c>
      <c r="K44" s="130">
        <f t="shared" si="6"/>
        <v>0</v>
      </c>
      <c r="L44" s="130">
        <f t="shared" si="7"/>
        <v>0</v>
      </c>
      <c r="M44" s="83">
        <f t="shared" si="8"/>
        <v>0</v>
      </c>
    </row>
    <row r="45" spans="1:13" ht="55.2" x14ac:dyDescent="0.3">
      <c r="A45" s="82">
        <v>44</v>
      </c>
      <c r="B45" s="87"/>
      <c r="C45" s="80" t="s">
        <v>181</v>
      </c>
      <c r="D45" s="79">
        <v>0.3</v>
      </c>
      <c r="E45" s="79">
        <v>0.17799999999999999</v>
      </c>
      <c r="F45" s="86">
        <v>0.191</v>
      </c>
      <c r="G45" s="89">
        <f>ROUND(D45*E45*F45,4)</f>
        <v>1.0200000000000001E-2</v>
      </c>
      <c r="H45" s="85">
        <v>5.6</v>
      </c>
      <c r="I45" s="85">
        <v>5.46</v>
      </c>
      <c r="J45" s="84">
        <f>'заказ-order'!E225</f>
        <v>0</v>
      </c>
      <c r="K45" s="130">
        <f>H45*J45</f>
        <v>0</v>
      </c>
      <c r="L45" s="130">
        <f>I45*J45</f>
        <v>0</v>
      </c>
      <c r="M45" s="83">
        <f>J45*D45*E45*F45</f>
        <v>0</v>
      </c>
    </row>
    <row r="46" spans="1:13" ht="55.2" x14ac:dyDescent="0.3">
      <c r="A46" s="82">
        <v>45</v>
      </c>
      <c r="B46" s="87"/>
      <c r="C46" s="80" t="s">
        <v>180</v>
      </c>
      <c r="D46" s="79">
        <v>0.29499999999999998</v>
      </c>
      <c r="E46" s="79">
        <v>0.14000000000000001</v>
      </c>
      <c r="F46" s="86">
        <v>0.2</v>
      </c>
      <c r="G46" s="89">
        <f t="shared" si="5"/>
        <v>8.3000000000000001E-3</v>
      </c>
      <c r="H46" s="85">
        <v>4.62</v>
      </c>
      <c r="I46" s="85">
        <v>4.4800000000000004</v>
      </c>
      <c r="J46" s="84">
        <f>'заказ-order'!E226</f>
        <v>0</v>
      </c>
      <c r="K46" s="130">
        <f t="shared" si="6"/>
        <v>0</v>
      </c>
      <c r="L46" s="130">
        <f t="shared" si="7"/>
        <v>0</v>
      </c>
      <c r="M46" s="83">
        <f t="shared" si="8"/>
        <v>0</v>
      </c>
    </row>
    <row r="47" spans="1:13" ht="55.2" x14ac:dyDescent="0.3">
      <c r="A47" s="82">
        <v>46</v>
      </c>
      <c r="B47" s="87"/>
      <c r="C47" s="80" t="s">
        <v>182</v>
      </c>
      <c r="D47" s="79">
        <v>0.29499999999999998</v>
      </c>
      <c r="E47" s="79">
        <v>0.17499999999999999</v>
      </c>
      <c r="F47" s="86">
        <v>0.15</v>
      </c>
      <c r="G47" s="89">
        <f>ROUND(D47*E47*F47,4)</f>
        <v>7.7000000000000002E-3</v>
      </c>
      <c r="H47" s="85">
        <v>3.44</v>
      </c>
      <c r="I47" s="85">
        <v>3.3200000000000003</v>
      </c>
      <c r="J47" s="84">
        <f>'заказ-order'!E227</f>
        <v>0</v>
      </c>
      <c r="K47" s="130">
        <f t="shared" si="6"/>
        <v>0</v>
      </c>
      <c r="L47" s="130">
        <f t="shared" si="7"/>
        <v>0</v>
      </c>
      <c r="M47" s="83">
        <f t="shared" si="8"/>
        <v>0</v>
      </c>
    </row>
    <row r="48" spans="1:13" ht="27.6" x14ac:dyDescent="0.3">
      <c r="A48" s="82">
        <v>47</v>
      </c>
      <c r="B48" s="87"/>
      <c r="C48" s="80" t="s">
        <v>172</v>
      </c>
      <c r="D48" s="79">
        <v>0.26500000000000001</v>
      </c>
      <c r="E48" s="79">
        <v>0.26</v>
      </c>
      <c r="F48" s="86">
        <v>0.216</v>
      </c>
      <c r="G48" s="89">
        <f>ROUND(D48*E48*F48,4)</f>
        <v>1.49E-2</v>
      </c>
      <c r="H48" s="86">
        <v>7.78</v>
      </c>
      <c r="I48" s="86">
        <v>7.56</v>
      </c>
      <c r="J48" s="84">
        <f>'заказ-order'!E229</f>
        <v>0</v>
      </c>
      <c r="K48" s="130">
        <f>H48*J48</f>
        <v>0</v>
      </c>
      <c r="L48" s="130">
        <f>I48*J48</f>
        <v>0</v>
      </c>
      <c r="M48" s="83">
        <f>J48*D48*E48*F48</f>
        <v>0</v>
      </c>
    </row>
    <row r="49" spans="1:13" ht="41.4" x14ac:dyDescent="0.3">
      <c r="A49" s="82">
        <v>48</v>
      </c>
      <c r="B49" s="87"/>
      <c r="C49" s="80" t="s">
        <v>209</v>
      </c>
      <c r="D49" s="88">
        <v>0.26300000000000001</v>
      </c>
      <c r="E49" s="88">
        <v>0.17399999999999999</v>
      </c>
      <c r="F49" s="85">
        <v>0.157</v>
      </c>
      <c r="G49" s="89">
        <f>ROUND(D49*E49*F49,4)</f>
        <v>7.1999999999999998E-3</v>
      </c>
      <c r="H49" s="85">
        <v>3.27</v>
      </c>
      <c r="I49" s="85">
        <v>3.1440000000000001</v>
      </c>
      <c r="J49" s="84">
        <f>'заказ-order'!E236</f>
        <v>0</v>
      </c>
      <c r="K49" s="130">
        <f t="shared" si="6"/>
        <v>0</v>
      </c>
      <c r="L49" s="130">
        <f>I49*J49</f>
        <v>0</v>
      </c>
      <c r="M49" s="83">
        <f>J49*D49*E49*F49</f>
        <v>0</v>
      </c>
    </row>
    <row r="50" spans="1:13" ht="41.4" x14ac:dyDescent="0.3">
      <c r="A50" s="82">
        <v>49</v>
      </c>
      <c r="B50" s="87"/>
      <c r="C50" s="80" t="s">
        <v>284</v>
      </c>
      <c r="D50" s="79">
        <v>0.22500000000000001</v>
      </c>
      <c r="E50" s="79">
        <v>0.21299999999999999</v>
      </c>
      <c r="F50" s="86">
        <v>0.19</v>
      </c>
      <c r="G50" s="89">
        <f t="shared" ref="G50:G71" si="51">ROUND(D50*E50*F50,4)</f>
        <v>9.1000000000000004E-3</v>
      </c>
      <c r="H50" s="86">
        <v>5.3</v>
      </c>
      <c r="I50" s="86">
        <v>5.16</v>
      </c>
      <c r="J50" s="84">
        <f>'заказ-order'!E238</f>
        <v>0</v>
      </c>
      <c r="K50" s="130">
        <f t="shared" ref="K50" si="52">H50*J50</f>
        <v>0</v>
      </c>
      <c r="L50" s="130">
        <f t="shared" ref="L50" si="53">I50*J50</f>
        <v>0</v>
      </c>
      <c r="M50" s="83">
        <f t="shared" ref="M50" si="54">J50*D50*E50*F50</f>
        <v>0</v>
      </c>
    </row>
    <row r="51" spans="1:13" ht="41.4" x14ac:dyDescent="0.3">
      <c r="A51" s="82">
        <v>50</v>
      </c>
      <c r="B51" s="87"/>
      <c r="C51" s="80" t="s">
        <v>183</v>
      </c>
      <c r="D51" s="79">
        <v>0.27500000000000002</v>
      </c>
      <c r="E51" s="79">
        <v>0.17</v>
      </c>
      <c r="F51" s="86">
        <v>0.155</v>
      </c>
      <c r="G51" s="89">
        <f t="shared" si="5"/>
        <v>7.1999999999999998E-3</v>
      </c>
      <c r="H51" s="86">
        <v>4.0599999999999996</v>
      </c>
      <c r="I51" s="86">
        <v>3.94</v>
      </c>
      <c r="J51" s="84">
        <f>'заказ-order'!E244</f>
        <v>0</v>
      </c>
      <c r="K51" s="130">
        <f t="shared" si="6"/>
        <v>0</v>
      </c>
      <c r="L51" s="130">
        <f t="shared" si="7"/>
        <v>0</v>
      </c>
      <c r="M51" s="83">
        <f t="shared" si="8"/>
        <v>0</v>
      </c>
    </row>
    <row r="52" spans="1:13" ht="41.4" x14ac:dyDescent="0.3">
      <c r="A52" s="82">
        <v>51</v>
      </c>
      <c r="B52" s="87"/>
      <c r="C52" s="214" t="s">
        <v>399</v>
      </c>
      <c r="D52" s="79">
        <v>0.3</v>
      </c>
      <c r="E52" s="79">
        <v>0.158</v>
      </c>
      <c r="F52" s="86">
        <v>0.182</v>
      </c>
      <c r="G52" s="89">
        <f t="shared" si="51"/>
        <v>8.6E-3</v>
      </c>
      <c r="H52" s="86">
        <v>3.74</v>
      </c>
      <c r="I52" s="86">
        <v>3.6</v>
      </c>
      <c r="J52" s="84">
        <f>+'заказ-order'!E249+'заказ-order'!E250</f>
        <v>0</v>
      </c>
      <c r="K52" s="130">
        <f t="shared" si="6"/>
        <v>0</v>
      </c>
      <c r="L52" s="130">
        <f t="shared" si="7"/>
        <v>0</v>
      </c>
      <c r="M52" s="83">
        <f t="shared" si="8"/>
        <v>0</v>
      </c>
    </row>
    <row r="53" spans="1:13" ht="41.4" x14ac:dyDescent="0.3">
      <c r="A53" s="82">
        <v>52</v>
      </c>
      <c r="B53" s="87"/>
      <c r="C53" s="215" t="s">
        <v>400</v>
      </c>
      <c r="D53" s="79">
        <v>0.245</v>
      </c>
      <c r="E53" s="79">
        <v>0.14499999999999999</v>
      </c>
      <c r="F53" s="86">
        <v>0.17499999999999999</v>
      </c>
      <c r="G53" s="89">
        <f t="shared" ref="G53:G54" si="55">ROUND(D53*E53*F53,4)</f>
        <v>6.1999999999999998E-3</v>
      </c>
      <c r="H53" s="86">
        <v>3.64</v>
      </c>
      <c r="I53" s="86">
        <v>3.54</v>
      </c>
      <c r="J53" s="84">
        <f>+'заказ-order'!E251</f>
        <v>0</v>
      </c>
      <c r="K53" s="130">
        <f t="shared" ref="K53:K54" si="56">H53*J53</f>
        <v>0</v>
      </c>
      <c r="L53" s="130">
        <f t="shared" ref="L53:L54" si="57">I53*J53</f>
        <v>0</v>
      </c>
      <c r="M53" s="83">
        <f t="shared" ref="M53:M54" si="58">J53*D53*E53*F53</f>
        <v>0</v>
      </c>
    </row>
    <row r="54" spans="1:13" ht="27.6" x14ac:dyDescent="0.3">
      <c r="A54" s="82">
        <v>53</v>
      </c>
      <c r="B54" s="87"/>
      <c r="C54" s="215" t="s">
        <v>401</v>
      </c>
      <c r="D54" s="79">
        <v>0.28699999999999998</v>
      </c>
      <c r="E54" s="79">
        <v>0.19</v>
      </c>
      <c r="F54" s="86">
        <v>0.182</v>
      </c>
      <c r="G54" s="89">
        <f t="shared" si="55"/>
        <v>9.9000000000000008E-3</v>
      </c>
      <c r="H54" s="86">
        <v>5.46</v>
      </c>
      <c r="I54" s="86">
        <v>5.3120000000000003</v>
      </c>
      <c r="J54" s="84">
        <f>+'заказ-order'!E252</f>
        <v>0</v>
      </c>
      <c r="K54" s="130">
        <f t="shared" si="56"/>
        <v>0</v>
      </c>
      <c r="L54" s="130">
        <f t="shared" si="57"/>
        <v>0</v>
      </c>
      <c r="M54" s="83">
        <f t="shared" si="58"/>
        <v>0</v>
      </c>
    </row>
    <row r="55" spans="1:13" ht="27.6" x14ac:dyDescent="0.3">
      <c r="A55" s="82">
        <v>54</v>
      </c>
      <c r="B55" s="87"/>
      <c r="C55" s="215" t="s">
        <v>402</v>
      </c>
      <c r="D55" s="79">
        <v>0.29299999999999998</v>
      </c>
      <c r="E55" s="79">
        <v>0.19700000000000001</v>
      </c>
      <c r="F55" s="86">
        <v>0.151</v>
      </c>
      <c r="G55" s="89">
        <f t="shared" si="51"/>
        <v>8.6999999999999994E-3</v>
      </c>
      <c r="H55" s="86">
        <v>5.62</v>
      </c>
      <c r="I55" s="86">
        <v>5.4960000000000004</v>
      </c>
      <c r="J55" s="84">
        <f>+'заказ-order'!E253</f>
        <v>0</v>
      </c>
      <c r="K55" s="130">
        <f t="shared" si="6"/>
        <v>0</v>
      </c>
      <c r="L55" s="130">
        <f t="shared" si="7"/>
        <v>0</v>
      </c>
      <c r="M55" s="83">
        <f t="shared" si="8"/>
        <v>0</v>
      </c>
    </row>
    <row r="56" spans="1:13" ht="27.6" x14ac:dyDescent="0.3">
      <c r="A56" s="82">
        <v>55</v>
      </c>
      <c r="B56" s="87"/>
      <c r="C56" s="215" t="s">
        <v>403</v>
      </c>
      <c r="D56" s="79">
        <v>0.28499999999999998</v>
      </c>
      <c r="E56" s="79">
        <v>0.2</v>
      </c>
      <c r="F56" s="86">
        <v>0.153</v>
      </c>
      <c r="G56" s="89">
        <f t="shared" ref="G56" si="59">ROUND(D56*E56*F56,4)</f>
        <v>8.6999999999999994E-3</v>
      </c>
      <c r="H56" s="86">
        <v>4.2</v>
      </c>
      <c r="I56" s="86">
        <v>4.056</v>
      </c>
      <c r="J56" s="84">
        <f>+'заказ-order'!E254</f>
        <v>0</v>
      </c>
      <c r="K56" s="130">
        <f t="shared" ref="K56" si="60">H56*J56</f>
        <v>0</v>
      </c>
      <c r="L56" s="130">
        <f t="shared" ref="L56" si="61">I56*J56</f>
        <v>0</v>
      </c>
      <c r="M56" s="83">
        <f t="shared" ref="M56" si="62">J56*D56*E56*F56</f>
        <v>0</v>
      </c>
    </row>
    <row r="57" spans="1:13" ht="27.6" x14ac:dyDescent="0.3">
      <c r="A57" s="82">
        <v>56</v>
      </c>
      <c r="B57" s="87"/>
      <c r="C57" s="80" t="s">
        <v>80</v>
      </c>
      <c r="D57" s="79">
        <v>0.255</v>
      </c>
      <c r="E57" s="79">
        <v>0.13</v>
      </c>
      <c r="F57" s="86">
        <v>0.16</v>
      </c>
      <c r="G57" s="89">
        <f>ROUND(D57*E57*F57,4)</f>
        <v>5.3E-3</v>
      </c>
      <c r="H57" s="86">
        <v>2.58</v>
      </c>
      <c r="I57" s="86">
        <v>2.5</v>
      </c>
      <c r="J57" s="84">
        <f>'заказ-order'!E256</f>
        <v>0</v>
      </c>
      <c r="K57" s="130">
        <f>H57*J57</f>
        <v>0</v>
      </c>
      <c r="L57" s="130">
        <f>I57*J57</f>
        <v>0</v>
      </c>
      <c r="M57" s="83">
        <f>J57*D57*E57*F57</f>
        <v>0</v>
      </c>
    </row>
    <row r="58" spans="1:13" ht="41.4" x14ac:dyDescent="0.3">
      <c r="A58" s="82">
        <v>57</v>
      </c>
      <c r="B58" s="87"/>
      <c r="C58" s="80" t="s">
        <v>169</v>
      </c>
      <c r="D58" s="79">
        <v>0.315</v>
      </c>
      <c r="E58" s="79">
        <v>0.187</v>
      </c>
      <c r="F58" s="86">
        <v>0.21199999999999999</v>
      </c>
      <c r="G58" s="89">
        <f t="shared" si="5"/>
        <v>1.2500000000000001E-2</v>
      </c>
      <c r="H58" s="86">
        <v>3.54</v>
      </c>
      <c r="I58" s="86">
        <v>3.38</v>
      </c>
      <c r="J58" s="84">
        <f>'заказ-order'!E268</f>
        <v>0</v>
      </c>
      <c r="K58" s="130">
        <f t="shared" si="6"/>
        <v>0</v>
      </c>
      <c r="L58" s="130">
        <f t="shared" si="7"/>
        <v>0</v>
      </c>
      <c r="M58" s="83">
        <f t="shared" si="8"/>
        <v>0</v>
      </c>
    </row>
    <row r="59" spans="1:13" ht="41.4" x14ac:dyDescent="0.3">
      <c r="A59" s="82">
        <v>58</v>
      </c>
      <c r="B59" s="87"/>
      <c r="C59" s="80" t="s">
        <v>171</v>
      </c>
      <c r="D59" s="79">
        <v>0.31</v>
      </c>
      <c r="E59" s="79">
        <v>0.21</v>
      </c>
      <c r="F59" s="86">
        <v>0.16900000000000001</v>
      </c>
      <c r="G59" s="89">
        <f t="shared" si="51"/>
        <v>1.0999999999999999E-2</v>
      </c>
      <c r="H59" s="86">
        <v>3.08</v>
      </c>
      <c r="I59" s="86">
        <v>2.92</v>
      </c>
      <c r="J59" s="84">
        <f>'заказ-order'!E272</f>
        <v>0</v>
      </c>
      <c r="K59" s="130">
        <f t="shared" si="6"/>
        <v>0</v>
      </c>
      <c r="L59" s="130">
        <f t="shared" si="7"/>
        <v>0</v>
      </c>
      <c r="M59" s="83">
        <f t="shared" si="8"/>
        <v>0</v>
      </c>
    </row>
    <row r="60" spans="1:13" ht="55.2" x14ac:dyDescent="0.3">
      <c r="A60" s="82">
        <v>59</v>
      </c>
      <c r="B60" s="87"/>
      <c r="C60" s="80" t="s">
        <v>272</v>
      </c>
      <c r="D60" s="79">
        <v>0.28999999999999998</v>
      </c>
      <c r="E60" s="79">
        <v>0.17499999999999999</v>
      </c>
      <c r="F60" s="86">
        <v>0.26400000000000001</v>
      </c>
      <c r="G60" s="89">
        <f>ROUND(D60*E60*F60,4)</f>
        <v>1.34E-2</v>
      </c>
      <c r="H60" s="85">
        <v>6.82</v>
      </c>
      <c r="I60" s="85">
        <v>6.66</v>
      </c>
      <c r="J60" s="84">
        <f>'заказ-order'!E276</f>
        <v>0</v>
      </c>
      <c r="K60" s="130">
        <f t="shared" ref="K60" si="63">H60*J60</f>
        <v>0</v>
      </c>
      <c r="L60" s="130">
        <f t="shared" ref="L60" si="64">I60*J60</f>
        <v>0</v>
      </c>
      <c r="M60" s="83">
        <f t="shared" ref="M60" si="65">J60*D60*E60*F60</f>
        <v>0</v>
      </c>
    </row>
    <row r="61" spans="1:13" ht="27.6" x14ac:dyDescent="0.3">
      <c r="A61" s="82">
        <v>60</v>
      </c>
      <c r="B61" s="87"/>
      <c r="C61" s="80" t="s">
        <v>416</v>
      </c>
      <c r="D61" s="79">
        <v>0.27</v>
      </c>
      <c r="E61" s="79">
        <v>0.19500000000000001</v>
      </c>
      <c r="F61" s="86">
        <v>0.25800000000000001</v>
      </c>
      <c r="G61" s="89">
        <f t="shared" si="51"/>
        <v>1.3599999999999999E-2</v>
      </c>
      <c r="H61" s="86">
        <v>7.4279999999999999</v>
      </c>
      <c r="I61" s="86">
        <v>7.2560000000000002</v>
      </c>
      <c r="J61" s="84">
        <f>'заказ-order'!E291</f>
        <v>0</v>
      </c>
      <c r="K61" s="130">
        <f t="shared" ref="K61" si="66">H61*J61</f>
        <v>0</v>
      </c>
      <c r="L61" s="130">
        <f t="shared" ref="L61" si="67">I61*J61</f>
        <v>0</v>
      </c>
      <c r="M61" s="83">
        <f t="shared" ref="M61" si="68">J61*D61*E61*F61</f>
        <v>0</v>
      </c>
    </row>
    <row r="62" spans="1:13" ht="27.6" x14ac:dyDescent="0.3">
      <c r="A62" s="82">
        <v>61</v>
      </c>
      <c r="B62" s="87"/>
      <c r="C62" s="80" t="s">
        <v>268</v>
      </c>
      <c r="D62" s="79">
        <v>0.34499999999999997</v>
      </c>
      <c r="E62" s="79">
        <v>0.2</v>
      </c>
      <c r="F62" s="86">
        <v>0.14499999999999999</v>
      </c>
      <c r="G62" s="89">
        <f>ROUND(D62*E62*F62,4)</f>
        <v>0.01</v>
      </c>
      <c r="H62" s="86">
        <v>6.54</v>
      </c>
      <c r="I62" s="86">
        <v>6.38</v>
      </c>
      <c r="J62" s="84">
        <f>'заказ-order'!E303</f>
        <v>0</v>
      </c>
      <c r="K62" s="130">
        <f>H62*J62</f>
        <v>0</v>
      </c>
      <c r="L62" s="130">
        <f>I62*J62</f>
        <v>0</v>
      </c>
      <c r="M62" s="83">
        <f>J62*D62*E62*F62</f>
        <v>0</v>
      </c>
    </row>
    <row r="63" spans="1:13" ht="27.6" x14ac:dyDescent="0.3">
      <c r="A63" s="82">
        <v>62</v>
      </c>
      <c r="B63" s="87"/>
      <c r="C63" s="80" t="s">
        <v>55</v>
      </c>
      <c r="D63" s="79">
        <v>0.39200000000000002</v>
      </c>
      <c r="E63" s="79">
        <v>0.17699999999999999</v>
      </c>
      <c r="F63" s="86">
        <v>0.13500000000000001</v>
      </c>
      <c r="G63" s="89">
        <f t="shared" si="5"/>
        <v>9.4000000000000004E-3</v>
      </c>
      <c r="H63" s="86">
        <v>6.92</v>
      </c>
      <c r="I63" s="86">
        <v>6.76</v>
      </c>
      <c r="J63" s="84">
        <f>'заказ-order'!E310</f>
        <v>0</v>
      </c>
      <c r="K63" s="130">
        <f t="shared" ref="K63:K66" si="69">H63*J63</f>
        <v>0</v>
      </c>
      <c r="L63" s="130">
        <f t="shared" si="7"/>
        <v>0</v>
      </c>
      <c r="M63" s="83">
        <f t="shared" si="8"/>
        <v>0</v>
      </c>
    </row>
    <row r="64" spans="1:13" ht="27.6" x14ac:dyDescent="0.3">
      <c r="A64" s="82">
        <v>63</v>
      </c>
      <c r="B64" s="87"/>
      <c r="C64" s="80" t="s">
        <v>56</v>
      </c>
      <c r="D64" s="79">
        <v>0.32500000000000001</v>
      </c>
      <c r="E64" s="79">
        <v>0.18</v>
      </c>
      <c r="F64" s="86">
        <v>0.185</v>
      </c>
      <c r="G64" s="89">
        <f t="shared" si="51"/>
        <v>1.0800000000000001E-2</v>
      </c>
      <c r="H64" s="86">
        <v>6.9</v>
      </c>
      <c r="I64" s="86">
        <v>6.74</v>
      </c>
      <c r="J64" s="84">
        <f>'заказ-order'!E312</f>
        <v>0</v>
      </c>
      <c r="K64" s="130">
        <f t="shared" si="69"/>
        <v>0</v>
      </c>
      <c r="L64" s="130">
        <f t="shared" si="7"/>
        <v>0</v>
      </c>
      <c r="M64" s="83">
        <f t="shared" si="8"/>
        <v>0</v>
      </c>
    </row>
    <row r="65" spans="1:13" ht="27.6" x14ac:dyDescent="0.3">
      <c r="A65" s="82">
        <v>64</v>
      </c>
      <c r="B65" s="87"/>
      <c r="C65" s="80" t="s">
        <v>57</v>
      </c>
      <c r="D65" s="79">
        <v>0.33500000000000002</v>
      </c>
      <c r="E65" s="79">
        <v>0.2</v>
      </c>
      <c r="F65" s="86">
        <v>0.15</v>
      </c>
      <c r="G65" s="89">
        <f t="shared" si="5"/>
        <v>1.01E-2</v>
      </c>
      <c r="H65" s="86">
        <v>6.89</v>
      </c>
      <c r="I65" s="86">
        <v>6.72</v>
      </c>
      <c r="J65" s="84">
        <f>'заказ-order'!E321</f>
        <v>0</v>
      </c>
      <c r="K65" s="130">
        <f t="shared" si="69"/>
        <v>0</v>
      </c>
      <c r="L65" s="130">
        <f t="shared" si="7"/>
        <v>0</v>
      </c>
      <c r="M65" s="83">
        <f t="shared" si="8"/>
        <v>0</v>
      </c>
    </row>
    <row r="66" spans="1:13" ht="27.6" x14ac:dyDescent="0.3">
      <c r="A66" s="82">
        <v>65</v>
      </c>
      <c r="B66" s="87"/>
      <c r="C66" s="80" t="s">
        <v>65</v>
      </c>
      <c r="D66" s="79">
        <v>0.35</v>
      </c>
      <c r="E66" s="79">
        <v>0.21</v>
      </c>
      <c r="F66" s="86">
        <v>0.153</v>
      </c>
      <c r="G66" s="89">
        <f t="shared" si="51"/>
        <v>1.12E-2</v>
      </c>
      <c r="H66" s="86">
        <v>8.34</v>
      </c>
      <c r="I66" s="86">
        <v>8.16</v>
      </c>
      <c r="J66" s="84">
        <f>'заказ-order'!E330</f>
        <v>0</v>
      </c>
      <c r="K66" s="130">
        <f t="shared" si="69"/>
        <v>0</v>
      </c>
      <c r="L66" s="130">
        <f t="shared" ref="L66" si="70">I66*J66</f>
        <v>0</v>
      </c>
      <c r="M66" s="83">
        <f t="shared" si="8"/>
        <v>0</v>
      </c>
    </row>
    <row r="67" spans="1:13" ht="41.4" x14ac:dyDescent="0.3">
      <c r="A67" s="82">
        <v>66</v>
      </c>
      <c r="B67" s="87"/>
      <c r="C67" s="80" t="s">
        <v>365</v>
      </c>
      <c r="D67" s="79">
        <v>0.33400000000000002</v>
      </c>
      <c r="E67" s="79">
        <v>0.192</v>
      </c>
      <c r="F67" s="86">
        <v>0.155</v>
      </c>
      <c r="G67" s="89">
        <f t="shared" si="51"/>
        <v>9.9000000000000008E-3</v>
      </c>
      <c r="H67" s="86">
        <v>8.44</v>
      </c>
      <c r="I67" s="86">
        <v>8.2799999999999994</v>
      </c>
      <c r="J67" s="84">
        <f>'заказ-order'!E339</f>
        <v>0</v>
      </c>
      <c r="K67" s="130">
        <f t="shared" ref="K67" si="71">H67*J67</f>
        <v>0</v>
      </c>
      <c r="L67" s="130">
        <f t="shared" ref="L67" si="72">I67*J67</f>
        <v>0</v>
      </c>
      <c r="M67" s="83">
        <f t="shared" ref="M67" si="73">J67*D67*E67*F67</f>
        <v>0</v>
      </c>
    </row>
    <row r="68" spans="1:13" ht="27.6" x14ac:dyDescent="0.3">
      <c r="A68" s="82">
        <v>67</v>
      </c>
      <c r="B68" s="87"/>
      <c r="C68" s="80" t="s">
        <v>50</v>
      </c>
      <c r="D68" s="79">
        <v>0.26500000000000001</v>
      </c>
      <c r="E68" s="79">
        <v>0.2</v>
      </c>
      <c r="F68" s="86">
        <v>0.22</v>
      </c>
      <c r="G68" s="89">
        <f t="shared" si="5"/>
        <v>1.17E-2</v>
      </c>
      <c r="H68" s="85">
        <v>6.64</v>
      </c>
      <c r="I68" s="85">
        <v>6.44</v>
      </c>
      <c r="J68" s="84">
        <f>'заказ-order'!E343</f>
        <v>0</v>
      </c>
      <c r="K68" s="130">
        <f t="shared" ref="K68:K71" si="74">H68*J68</f>
        <v>0</v>
      </c>
      <c r="L68" s="130">
        <f t="shared" si="2"/>
        <v>0</v>
      </c>
      <c r="M68" s="83">
        <f t="shared" ref="M68:M71" si="75">J68*D68*E68*F68</f>
        <v>0</v>
      </c>
    </row>
    <row r="69" spans="1:13" ht="27.6" x14ac:dyDescent="0.3">
      <c r="A69" s="82">
        <v>68</v>
      </c>
      <c r="B69" s="87"/>
      <c r="C69" s="80" t="s">
        <v>51</v>
      </c>
      <c r="D69" s="79">
        <v>0.26500000000000001</v>
      </c>
      <c r="E69" s="79">
        <v>0.2</v>
      </c>
      <c r="F69" s="86">
        <v>0.22</v>
      </c>
      <c r="G69" s="89">
        <f t="shared" si="51"/>
        <v>1.17E-2</v>
      </c>
      <c r="H69" s="85">
        <v>6.64</v>
      </c>
      <c r="I69" s="85">
        <v>6.44</v>
      </c>
      <c r="J69" s="84">
        <f>'заказ-order'!E344</f>
        <v>0</v>
      </c>
      <c r="K69" s="130">
        <f t="shared" si="74"/>
        <v>0</v>
      </c>
      <c r="L69" s="130">
        <f t="shared" si="2"/>
        <v>0</v>
      </c>
      <c r="M69" s="83">
        <f t="shared" si="75"/>
        <v>0</v>
      </c>
    </row>
    <row r="70" spans="1:13" ht="27.6" x14ac:dyDescent="0.3">
      <c r="A70" s="82">
        <v>69</v>
      </c>
      <c r="B70" s="87"/>
      <c r="C70" s="80" t="s">
        <v>52</v>
      </c>
      <c r="D70" s="79">
        <v>0.26500000000000001</v>
      </c>
      <c r="E70" s="79">
        <v>0.2</v>
      </c>
      <c r="F70" s="86">
        <v>0.22</v>
      </c>
      <c r="G70" s="89">
        <f t="shared" si="5"/>
        <v>1.17E-2</v>
      </c>
      <c r="H70" s="85">
        <v>7.04</v>
      </c>
      <c r="I70" s="85">
        <v>6.84</v>
      </c>
      <c r="J70" s="84">
        <f>'заказ-order'!E345</f>
        <v>0</v>
      </c>
      <c r="K70" s="130">
        <f t="shared" si="74"/>
        <v>0</v>
      </c>
      <c r="L70" s="130">
        <f t="shared" si="2"/>
        <v>0</v>
      </c>
      <c r="M70" s="83">
        <f t="shared" si="75"/>
        <v>0</v>
      </c>
    </row>
    <row r="71" spans="1:13" ht="27.6" x14ac:dyDescent="0.3">
      <c r="A71" s="82">
        <v>70</v>
      </c>
      <c r="B71" s="87"/>
      <c r="C71" s="80" t="s">
        <v>53</v>
      </c>
      <c r="D71" s="79">
        <v>0.26500000000000001</v>
      </c>
      <c r="E71" s="79">
        <v>0.2</v>
      </c>
      <c r="F71" s="86">
        <v>0.22</v>
      </c>
      <c r="G71" s="89">
        <f t="shared" si="51"/>
        <v>1.17E-2</v>
      </c>
      <c r="H71" s="85">
        <v>7.04</v>
      </c>
      <c r="I71" s="85">
        <v>6.84</v>
      </c>
      <c r="J71" s="84">
        <f>'заказ-order'!E346</f>
        <v>0</v>
      </c>
      <c r="K71" s="130">
        <f t="shared" si="74"/>
        <v>0</v>
      </c>
      <c r="L71" s="130">
        <f t="shared" si="2"/>
        <v>0</v>
      </c>
      <c r="M71" s="83">
        <f t="shared" si="75"/>
        <v>0</v>
      </c>
    </row>
    <row r="72" spans="1:13" ht="55.2" x14ac:dyDescent="0.3">
      <c r="A72" s="82">
        <v>71</v>
      </c>
      <c r="B72" s="87"/>
      <c r="C72" s="80" t="s">
        <v>54</v>
      </c>
      <c r="D72" s="79">
        <v>0.26500000000000001</v>
      </c>
      <c r="E72" s="79">
        <v>0.2</v>
      </c>
      <c r="F72" s="86">
        <v>0.22</v>
      </c>
      <c r="G72" s="89">
        <f>ROUND(D72*E72*F72,4)</f>
        <v>1.17E-2</v>
      </c>
      <c r="H72" s="85">
        <v>7.04</v>
      </c>
      <c r="I72" s="85">
        <v>6.84</v>
      </c>
      <c r="J72" s="84">
        <f>'заказ-order'!E347</f>
        <v>0</v>
      </c>
      <c r="K72" s="130">
        <f t="shared" ref="K72" si="76">H72*J72</f>
        <v>0</v>
      </c>
      <c r="L72" s="130">
        <f>I72*J72</f>
        <v>0</v>
      </c>
      <c r="M72" s="83">
        <f t="shared" ref="M72" si="77">J72*D72*E72*F72</f>
        <v>0</v>
      </c>
    </row>
    <row r="73" spans="1:13" ht="55.2" x14ac:dyDescent="0.3">
      <c r="A73" s="82">
        <v>72</v>
      </c>
      <c r="B73" s="87"/>
      <c r="C73" s="80" t="s">
        <v>168</v>
      </c>
      <c r="D73" s="79">
        <v>0.26</v>
      </c>
      <c r="E73" s="79">
        <v>0.21</v>
      </c>
      <c r="F73" s="86">
        <v>0.19</v>
      </c>
      <c r="G73" s="89">
        <f>ROUND(D73*E73*F73,4)</f>
        <v>1.04E-2</v>
      </c>
      <c r="H73" s="86">
        <v>5.6</v>
      </c>
      <c r="I73" s="86">
        <v>5.38</v>
      </c>
      <c r="J73" s="84">
        <f>'заказ-order'!E349</f>
        <v>0</v>
      </c>
      <c r="K73" s="130">
        <f>H73*J73</f>
        <v>0</v>
      </c>
      <c r="L73" s="130">
        <f>I73*J73</f>
        <v>0</v>
      </c>
      <c r="M73" s="83">
        <f t="shared" ref="M73" si="78">J73*D73*E73*F73</f>
        <v>0</v>
      </c>
    </row>
    <row r="74" spans="1:13" x14ac:dyDescent="0.3">
      <c r="A74" s="82"/>
      <c r="B74" s="81"/>
      <c r="C74" s="80"/>
      <c r="D74" s="79"/>
      <c r="E74" s="79"/>
      <c r="F74" s="79"/>
      <c r="G74" s="78" t="s">
        <v>8</v>
      </c>
      <c r="H74" s="77"/>
      <c r="I74" s="77"/>
      <c r="J74" s="76">
        <f>SUM(J3:J73)</f>
        <v>0</v>
      </c>
      <c r="K74" s="131">
        <f>SUM(K3:K73)</f>
        <v>0</v>
      </c>
      <c r="L74" s="131">
        <f>SUM(L3:L73)</f>
        <v>0</v>
      </c>
      <c r="M74" s="76">
        <f>SUM(M3:M73)</f>
        <v>0</v>
      </c>
    </row>
    <row r="75" spans="1:13" x14ac:dyDescent="0.3">
      <c r="F75" s="74"/>
      <c r="G75" s="73"/>
      <c r="H75" s="71"/>
      <c r="I75" s="71"/>
      <c r="M75" s="70"/>
    </row>
    <row r="76" spans="1:13" x14ac:dyDescent="0.3">
      <c r="F76" s="74"/>
      <c r="G76" s="73"/>
      <c r="H76" s="71"/>
      <c r="I76" s="71"/>
      <c r="M76" s="70"/>
    </row>
    <row r="77" spans="1:13" ht="13.2" x14ac:dyDescent="0.25">
      <c r="F77" s="70"/>
      <c r="G77" s="70"/>
      <c r="H77" s="70"/>
      <c r="I77" s="70"/>
      <c r="J77" s="70"/>
      <c r="K77" s="70"/>
      <c r="L77" s="70"/>
      <c r="M77" s="70"/>
    </row>
    <row r="78" spans="1:13" x14ac:dyDescent="0.3">
      <c r="F78" s="74"/>
      <c r="G78" s="73"/>
      <c r="H78" s="71"/>
      <c r="I78" s="71"/>
      <c r="M78" s="70"/>
    </row>
  </sheetData>
  <sheetProtection selectLockedCells="1" selectUnlockedCells="1"/>
  <mergeCells count="1">
    <mergeCell ref="D1:H1"/>
  </mergeCells>
  <pageMargins left="3.937007874015748E-2" right="0" top="0" bottom="0" header="0.51181102362204722" footer="0.51181102362204722"/>
  <pageSetup paperSize="9" scale="68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>
    <pageSetUpPr fitToPage="1"/>
  </sheetPr>
  <dimension ref="A1:M76"/>
  <sheetViews>
    <sheetView view="pageBreakPreview" zoomScale="60" zoomScaleNormal="85" workbookViewId="0">
      <pane xSplit="1" ySplit="2" topLeftCell="B41" activePane="bottomRight" state="frozen"/>
      <selection pane="topRight" activeCell="B1" sqref="B1"/>
      <selection pane="bottomLeft" activeCell="A3" sqref="A3"/>
      <selection pane="bottomRight" activeCell="S13" sqref="S13"/>
    </sheetView>
  </sheetViews>
  <sheetFormatPr defaultColWidth="8.88671875" defaultRowHeight="13.8" x14ac:dyDescent="0.3"/>
  <cols>
    <col min="1" max="1" width="4.5546875" style="20" customWidth="1"/>
    <col min="2" max="2" width="6.5546875" style="20" bestFit="1" customWidth="1"/>
    <col min="3" max="3" width="55" style="20" customWidth="1"/>
    <col min="4" max="4" width="9.6640625" style="36" customWidth="1"/>
    <col min="5" max="5" width="8.88671875" style="36" customWidth="1"/>
    <col min="6" max="6" width="9.109375" style="36" customWidth="1"/>
    <col min="7" max="7" width="8.44140625" style="37" bestFit="1" customWidth="1"/>
    <col min="8" max="8" width="7.5546875" style="38" customWidth="1"/>
    <col min="9" max="9" width="11" style="52" bestFit="1" customWidth="1"/>
    <col min="10" max="11" width="12" style="51" customWidth="1"/>
    <col min="12" max="12" width="13" style="51" customWidth="1"/>
    <col min="13" max="14" width="10" style="20" bestFit="1" customWidth="1"/>
    <col min="15" max="16384" width="8.88671875" style="20"/>
  </cols>
  <sheetData>
    <row r="1" spans="1:12" ht="26.4" x14ac:dyDescent="0.25">
      <c r="A1" s="49" t="s">
        <v>0</v>
      </c>
      <c r="B1" s="49" t="s">
        <v>1</v>
      </c>
      <c r="C1" s="58" t="s">
        <v>9</v>
      </c>
      <c r="D1" s="219" t="s">
        <v>2</v>
      </c>
      <c r="E1" s="220"/>
      <c r="F1" s="220"/>
      <c r="G1" s="220"/>
      <c r="H1" s="220"/>
      <c r="I1" s="220"/>
      <c r="J1" s="220"/>
      <c r="K1" s="220"/>
      <c r="L1" s="221"/>
    </row>
    <row r="2" spans="1:12" ht="39.6" x14ac:dyDescent="0.25">
      <c r="A2" s="21"/>
      <c r="B2" s="21"/>
      <c r="C2" s="59"/>
      <c r="D2" s="22" t="s">
        <v>3</v>
      </c>
      <c r="E2" s="22" t="s">
        <v>4</v>
      </c>
      <c r="F2" s="22" t="s">
        <v>5</v>
      </c>
      <c r="G2" s="23" t="s">
        <v>6</v>
      </c>
      <c r="H2" s="24" t="s">
        <v>12</v>
      </c>
      <c r="I2" s="24" t="s">
        <v>10</v>
      </c>
      <c r="J2" s="24" t="s">
        <v>13</v>
      </c>
      <c r="K2" s="24" t="s">
        <v>16</v>
      </c>
      <c r="L2" s="24" t="s">
        <v>7</v>
      </c>
    </row>
    <row r="3" spans="1:12" x14ac:dyDescent="0.3">
      <c r="A3" s="25">
        <v>1</v>
      </c>
      <c r="B3" s="26"/>
      <c r="C3" s="60" t="e">
        <f>+'заказ-order'!#REF!</f>
        <v>#REF!</v>
      </c>
      <c r="D3" s="27">
        <v>0.37</v>
      </c>
      <c r="E3" s="27">
        <v>0.20499999999999999</v>
      </c>
      <c r="F3" s="28">
        <v>0.18</v>
      </c>
      <c r="G3" s="29">
        <f t="shared" ref="G3:G5" si="0">ROUND(D3*E3*F3,4)</f>
        <v>1.37E-2</v>
      </c>
      <c r="H3" s="28">
        <v>3.4</v>
      </c>
      <c r="I3" s="30" t="e">
        <f>'заказ-order'!#REF!</f>
        <v>#REF!</v>
      </c>
      <c r="J3" s="31" t="e">
        <f>H3*I3</f>
        <v>#REF!</v>
      </c>
      <c r="K3" s="31"/>
      <c r="L3" s="50" t="e">
        <f>I3*D3*E3*F3</f>
        <v>#REF!</v>
      </c>
    </row>
    <row r="4" spans="1:12" ht="41.4" x14ac:dyDescent="0.3">
      <c r="A4" s="25">
        <f>+A3+1</f>
        <v>2</v>
      </c>
      <c r="B4" s="26"/>
      <c r="C4" s="60" t="str">
        <f>+'заказ-order'!B47</f>
        <v>Стойкая крем краска для волос «Éclair» «3D», в тубах по 50 мл /                 Permanent hair color cream «Éclair» «3D», in tubes</v>
      </c>
      <c r="D4" s="27">
        <v>0.24</v>
      </c>
      <c r="E4" s="27">
        <v>0.29499999999999998</v>
      </c>
      <c r="F4" s="27">
        <v>0.185</v>
      </c>
      <c r="G4" s="29">
        <f t="shared" si="0"/>
        <v>1.3100000000000001E-2</v>
      </c>
      <c r="H4" s="28">
        <v>3.101</v>
      </c>
      <c r="I4" s="30">
        <f>+'заказ-order'!E47</f>
        <v>0</v>
      </c>
      <c r="J4" s="31">
        <f>H4*I4</f>
        <v>0</v>
      </c>
      <c r="K4" s="31"/>
      <c r="L4" s="50">
        <f>I4*D4*E4*F4</f>
        <v>0</v>
      </c>
    </row>
    <row r="5" spans="1:12" x14ac:dyDescent="0.3">
      <c r="A5" s="25">
        <f>+A4+1</f>
        <v>3</v>
      </c>
      <c r="B5" s="26"/>
      <c r="C5" s="60" t="e">
        <f>+'заказ-order'!#REF!</f>
        <v>#REF!</v>
      </c>
      <c r="D5" s="27">
        <v>0.24</v>
      </c>
      <c r="E5" s="27">
        <v>0.29499999999999998</v>
      </c>
      <c r="F5" s="27">
        <v>0.185</v>
      </c>
      <c r="G5" s="29">
        <f t="shared" si="0"/>
        <v>1.3100000000000001E-2</v>
      </c>
      <c r="H5" s="28">
        <v>3.766</v>
      </c>
      <c r="I5" s="30" t="e">
        <f>+'заказ-order'!#REF!</f>
        <v>#REF!</v>
      </c>
      <c r="J5" s="31" t="e">
        <f>H5*I5</f>
        <v>#REF!</v>
      </c>
      <c r="K5" s="31"/>
      <c r="L5" s="50" t="e">
        <f>I5*D5*E5*F5</f>
        <v>#REF!</v>
      </c>
    </row>
    <row r="6" spans="1:12" ht="41.4" x14ac:dyDescent="0.3">
      <c r="A6" s="25">
        <f t="shared" ref="A6:A45" si="1">+A5+1</f>
        <v>4</v>
      </c>
      <c r="B6" s="26"/>
      <c r="C6" s="60" t="str">
        <f>+'заказ-order'!B5</f>
        <v xml:space="preserve">Стойкая крем-краска  для волос «Éclair» с маслами «OMEGA 9», в саше пакетиках / Permanent hair color cream «Éclair» with «OMEGA-9» oils, sachet package </v>
      </c>
      <c r="D6" s="27"/>
      <c r="E6" s="27"/>
      <c r="F6" s="28"/>
      <c r="G6" s="29"/>
      <c r="H6" s="28"/>
      <c r="I6" s="30"/>
      <c r="J6" s="31"/>
      <c r="K6" s="31"/>
      <c r="L6" s="50"/>
    </row>
    <row r="7" spans="1:12" x14ac:dyDescent="0.3">
      <c r="A7" s="25">
        <f t="shared" si="1"/>
        <v>5</v>
      </c>
      <c r="B7" s="26"/>
      <c r="C7" s="60" t="str">
        <f>+'заказ-order'!B256</f>
        <v xml:space="preserve">Кремы «Éclair», в тубах по 44 мл / Сreams «Éclair» in tubes </v>
      </c>
      <c r="D7" s="27"/>
      <c r="E7" s="27"/>
      <c r="F7" s="28"/>
      <c r="G7" s="29"/>
      <c r="H7" s="28"/>
      <c r="I7" s="30"/>
      <c r="J7" s="31"/>
      <c r="K7" s="31"/>
      <c r="L7" s="50"/>
    </row>
    <row r="8" spans="1:12" x14ac:dyDescent="0.3">
      <c r="A8" s="25">
        <f t="shared" si="1"/>
        <v>6</v>
      </c>
      <c r="B8" s="26"/>
      <c r="C8" s="61" t="e">
        <f>+'заказ-order'!#REF!</f>
        <v>#REF!</v>
      </c>
      <c r="D8" s="27"/>
      <c r="E8" s="27"/>
      <c r="F8" s="28"/>
      <c r="G8" s="29"/>
      <c r="H8" s="28"/>
      <c r="I8" s="30"/>
      <c r="J8" s="31"/>
      <c r="K8" s="31"/>
      <c r="L8" s="50"/>
    </row>
    <row r="9" spans="1:12" ht="27.6" x14ac:dyDescent="0.3">
      <c r="A9" s="25">
        <f t="shared" si="1"/>
        <v>7</v>
      </c>
      <c r="B9" s="26"/>
      <c r="C9" s="61" t="str">
        <f>+'заказ-order'!B140</f>
        <v>Бальзамов-ополаскиватель для волос "ERSOLLE" «Éclair»,  500 мл /                    Hair balm-conditioner</v>
      </c>
      <c r="D9" s="27"/>
      <c r="E9" s="27"/>
      <c r="F9" s="28"/>
      <c r="G9" s="29"/>
      <c r="H9" s="28"/>
      <c r="I9" s="30"/>
      <c r="J9" s="31"/>
      <c r="K9" s="31"/>
      <c r="L9" s="50"/>
    </row>
    <row r="10" spans="1:12" x14ac:dyDescent="0.3">
      <c r="A10" s="25">
        <f t="shared" si="1"/>
        <v>8</v>
      </c>
      <c r="B10" s="26"/>
      <c r="C10" s="61" t="e">
        <f>+'заказ-order'!#REF!</f>
        <v>#REF!</v>
      </c>
      <c r="D10" s="27"/>
      <c r="E10" s="27"/>
      <c r="F10" s="28"/>
      <c r="G10" s="29"/>
      <c r="H10" s="28"/>
      <c r="I10" s="30"/>
      <c r="J10" s="31"/>
      <c r="K10" s="31"/>
      <c r="L10" s="50"/>
    </row>
    <row r="11" spans="1:12" x14ac:dyDescent="0.3">
      <c r="A11" s="25">
        <f t="shared" si="1"/>
        <v>9</v>
      </c>
      <c r="B11" s="26"/>
      <c r="C11" s="61" t="e">
        <f>+'заказ-order'!#REF!</f>
        <v>#REF!</v>
      </c>
      <c r="D11" s="27"/>
      <c r="E11" s="27"/>
      <c r="F11" s="28"/>
      <c r="G11" s="29"/>
      <c r="H11" s="28"/>
      <c r="I11" s="30"/>
      <c r="J11" s="31"/>
      <c r="K11" s="31"/>
      <c r="L11" s="50"/>
    </row>
    <row r="12" spans="1:12" x14ac:dyDescent="0.3">
      <c r="A12" s="25">
        <f t="shared" si="1"/>
        <v>10</v>
      </c>
      <c r="B12" s="26"/>
      <c r="C12" s="61" t="e">
        <f>+'заказ-order'!#REF!</f>
        <v>#REF!</v>
      </c>
      <c r="D12" s="27"/>
      <c r="E12" s="27"/>
      <c r="F12" s="28"/>
      <c r="G12" s="29"/>
      <c r="H12" s="28"/>
      <c r="I12" s="30"/>
      <c r="J12" s="31"/>
      <c r="K12" s="31"/>
      <c r="L12" s="50"/>
    </row>
    <row r="13" spans="1:12" ht="27.6" x14ac:dyDescent="0.3">
      <c r="A13" s="25">
        <f t="shared" si="1"/>
        <v>11</v>
      </c>
      <c r="B13" s="26"/>
      <c r="C13" s="61" t="str">
        <f>+'заказ-order'!B244</f>
        <v xml:space="preserve"> Мицеллярная вода "ELETT" «Éclair», 200 мл /                                                     Micellar water "ELETT" «Éclair», 200 ml.</v>
      </c>
      <c r="D13" s="27"/>
      <c r="E13" s="27"/>
      <c r="F13" s="28"/>
      <c r="G13" s="29"/>
      <c r="H13" s="28"/>
      <c r="I13" s="30"/>
      <c r="J13" s="31"/>
      <c r="K13" s="31"/>
      <c r="L13" s="50"/>
    </row>
    <row r="14" spans="1:12" x14ac:dyDescent="0.3">
      <c r="A14" s="25">
        <f t="shared" si="1"/>
        <v>12</v>
      </c>
      <c r="B14" s="26"/>
      <c r="C14" s="61" t="e">
        <f>+'заказ-order'!#REF!</f>
        <v>#REF!</v>
      </c>
      <c r="D14" s="27"/>
      <c r="E14" s="27"/>
      <c r="F14" s="28"/>
      <c r="G14" s="29"/>
      <c r="H14" s="28"/>
      <c r="I14" s="30"/>
      <c r="J14" s="31"/>
      <c r="K14" s="31"/>
      <c r="L14" s="50"/>
    </row>
    <row r="15" spans="1:12" ht="27.6" x14ac:dyDescent="0.3">
      <c r="A15" s="25">
        <f t="shared" si="1"/>
        <v>13</v>
      </c>
      <c r="B15" s="26"/>
      <c r="C15" s="61" t="str">
        <f>+'заказ-order'!B79</f>
        <v>Крем краска для бровей "ELETT" «Éclair» в тубах по 20мл / Eyebrow dye cream "ELETT" «Éclair»</v>
      </c>
      <c r="D15" s="27"/>
      <c r="E15" s="27"/>
      <c r="F15" s="28"/>
      <c r="G15" s="29"/>
      <c r="H15" s="28"/>
      <c r="I15" s="30"/>
      <c r="J15" s="31"/>
      <c r="K15" s="31"/>
      <c r="L15" s="50"/>
    </row>
    <row r="16" spans="1:12" x14ac:dyDescent="0.3">
      <c r="A16" s="25">
        <f t="shared" si="1"/>
        <v>14</v>
      </c>
      <c r="B16" s="26"/>
      <c r="C16" s="61" t="e">
        <f>+'заказ-order'!#REF!</f>
        <v>#REF!</v>
      </c>
      <c r="D16" s="27"/>
      <c r="E16" s="27"/>
      <c r="F16" s="28"/>
      <c r="G16" s="29"/>
      <c r="H16" s="28"/>
      <c r="I16" s="30"/>
      <c r="J16" s="31"/>
      <c r="K16" s="31"/>
      <c r="L16" s="50"/>
    </row>
    <row r="17" spans="1:13" x14ac:dyDescent="0.3">
      <c r="A17" s="25">
        <f t="shared" si="1"/>
        <v>15</v>
      </c>
      <c r="B17" s="26"/>
      <c r="C17" s="61" t="e">
        <f>+'заказ-order'!#REF!</f>
        <v>#REF!</v>
      </c>
      <c r="D17" s="27"/>
      <c r="E17" s="27"/>
      <c r="F17" s="28"/>
      <c r="G17" s="29"/>
      <c r="H17" s="28"/>
      <c r="I17" s="30"/>
      <c r="J17" s="31"/>
      <c r="K17" s="31"/>
      <c r="L17" s="50"/>
    </row>
    <row r="18" spans="1:13" x14ac:dyDescent="0.3">
      <c r="A18" s="25">
        <f t="shared" si="1"/>
        <v>16</v>
      </c>
      <c r="B18" s="26"/>
      <c r="C18" s="61" t="e">
        <f>+'заказ-order'!#REF!</f>
        <v>#REF!</v>
      </c>
      <c r="D18" s="27"/>
      <c r="E18" s="27"/>
      <c r="F18" s="28"/>
      <c r="G18" s="29"/>
      <c r="H18" s="28"/>
      <c r="I18" s="30"/>
      <c r="J18" s="31"/>
      <c r="K18" s="31"/>
      <c r="L18" s="50"/>
    </row>
    <row r="19" spans="1:13" x14ac:dyDescent="0.3">
      <c r="A19" s="25">
        <f t="shared" si="1"/>
        <v>17</v>
      </c>
      <c r="B19" s="26"/>
      <c r="C19" s="61" t="e">
        <f>+'заказ-order'!#REF!</f>
        <v>#REF!</v>
      </c>
      <c r="D19" s="27"/>
      <c r="E19" s="27"/>
      <c r="F19" s="28"/>
      <c r="G19" s="29"/>
      <c r="H19" s="28"/>
      <c r="I19" s="30"/>
      <c r="J19" s="31"/>
      <c r="K19" s="31"/>
      <c r="L19" s="50"/>
    </row>
    <row r="20" spans="1:13" ht="41.4" x14ac:dyDescent="0.3">
      <c r="A20" s="25">
        <f t="shared" si="1"/>
        <v>18</v>
      </c>
      <c r="B20" s="26"/>
      <c r="C20" s="60" t="str">
        <f>+'заказ-order'!B89</f>
        <v>Окрашивающий шампунь "Coloring shampoo" «Éclair» для борьбы с сединой 25 мл /  Coloring shampoo "Coloring shampoo" «Éclair» is a cpecial anti gray 25 ml</v>
      </c>
      <c r="D20" s="27"/>
      <c r="E20" s="27"/>
      <c r="F20" s="28"/>
      <c r="G20" s="29"/>
      <c r="H20" s="32"/>
      <c r="I20" s="30"/>
      <c r="J20" s="31"/>
      <c r="K20" s="31"/>
      <c r="L20" s="50"/>
      <c r="M20" s="20">
        <f>+H20/30*100</f>
        <v>0</v>
      </c>
    </row>
    <row r="21" spans="1:13" x14ac:dyDescent="0.3">
      <c r="A21" s="25">
        <f t="shared" si="1"/>
        <v>19</v>
      </c>
      <c r="B21" s="26"/>
      <c r="C21" s="60" t="str">
        <f>+'заказ-order'!B213</f>
        <v xml:space="preserve">Шампун для волос 830 мл / Shampoo for hair 830 ml </v>
      </c>
      <c r="D21" s="27"/>
      <c r="E21" s="27"/>
      <c r="F21" s="28"/>
      <c r="G21" s="29"/>
      <c r="H21" s="32"/>
      <c r="I21" s="30"/>
      <c r="J21" s="31"/>
      <c r="K21" s="31"/>
      <c r="L21" s="50"/>
    </row>
    <row r="22" spans="1:13" x14ac:dyDescent="0.3">
      <c r="A22" s="25">
        <f t="shared" si="1"/>
        <v>20</v>
      </c>
      <c r="B22" s="26"/>
      <c r="C22" s="60" t="str">
        <f>+'заказ-order'!B214</f>
        <v xml:space="preserve">Бальзам для волос 500 мл / Hair balm 500 ml </v>
      </c>
      <c r="D22" s="27"/>
      <c r="E22" s="27"/>
      <c r="F22" s="28"/>
      <c r="G22" s="29"/>
      <c r="H22" s="28"/>
      <c r="I22" s="30"/>
      <c r="J22" s="31"/>
      <c r="K22" s="31"/>
      <c r="L22" s="50"/>
    </row>
    <row r="23" spans="1:13" x14ac:dyDescent="0.3">
      <c r="A23" s="25">
        <f t="shared" si="1"/>
        <v>21</v>
      </c>
      <c r="B23" s="26"/>
      <c r="C23" s="60" t="str">
        <f>+'заказ-order'!B216</f>
        <v>Скраб для лица, в тубах по 150 мл / Face scrub 150 ml in tubes</v>
      </c>
      <c r="D23" s="27"/>
      <c r="E23" s="27"/>
      <c r="F23" s="28"/>
      <c r="G23" s="29"/>
      <c r="H23" s="28"/>
      <c r="I23" s="30"/>
      <c r="J23" s="31"/>
      <c r="K23" s="31"/>
      <c r="L23" s="50"/>
    </row>
    <row r="24" spans="1:13" ht="27.6" x14ac:dyDescent="0.3">
      <c r="A24" s="25">
        <f t="shared" si="1"/>
        <v>22</v>
      </c>
      <c r="B24" s="26"/>
      <c r="C24" s="60" t="str">
        <f>+'заказ-order'!B217</f>
        <v>Крем для депиляции в тубах по 100 мл / Depilatory cream 100 ml in tubes</v>
      </c>
      <c r="D24" s="41"/>
      <c r="E24" s="41"/>
      <c r="F24" s="42"/>
      <c r="G24" s="43"/>
      <c r="H24" s="42"/>
      <c r="I24" s="30"/>
      <c r="J24" s="31"/>
      <c r="K24" s="31"/>
      <c r="L24" s="50"/>
    </row>
    <row r="25" spans="1:13" ht="27.6" x14ac:dyDescent="0.3">
      <c r="A25" s="25">
        <f t="shared" si="1"/>
        <v>23</v>
      </c>
      <c r="B25" s="26"/>
      <c r="C25" s="60" t="str">
        <f>+'заказ-order'!B218</f>
        <v>Крем для лица в баночках по 150 мл / Face cream 150 ml in jars</v>
      </c>
      <c r="D25" s="41"/>
      <c r="E25" s="41"/>
      <c r="F25" s="42"/>
      <c r="G25" s="43"/>
      <c r="H25" s="42"/>
      <c r="I25" s="30"/>
      <c r="J25" s="31"/>
      <c r="K25" s="31"/>
      <c r="L25" s="50"/>
    </row>
    <row r="26" spans="1:13" x14ac:dyDescent="0.3">
      <c r="A26" s="25">
        <f t="shared" si="1"/>
        <v>24</v>
      </c>
      <c r="B26" s="26"/>
      <c r="C26" s="60" t="str">
        <f>+'заказ-order'!B219</f>
        <v>Крем для рук в баночках  по 150 мл / Hand cream 150 ml in jars</v>
      </c>
      <c r="D26" s="41"/>
      <c r="E26" s="41"/>
      <c r="F26" s="42"/>
      <c r="G26" s="43"/>
      <c r="H26" s="42"/>
      <c r="I26" s="30"/>
      <c r="J26" s="31"/>
      <c r="K26" s="31"/>
      <c r="L26" s="50"/>
    </row>
    <row r="27" spans="1:13" x14ac:dyDescent="0.3">
      <c r="A27" s="25">
        <f t="shared" si="1"/>
        <v>25</v>
      </c>
      <c r="B27" s="26"/>
      <c r="C27" s="60" t="str">
        <f>+'заказ-order'!B220</f>
        <v>Крем для ног в баночках 75 мл / Foot cream 75 ml in jars</v>
      </c>
      <c r="D27" s="41"/>
      <c r="E27" s="41"/>
      <c r="F27" s="42"/>
      <c r="G27" s="43"/>
      <c r="H27" s="42"/>
      <c r="I27" s="30"/>
      <c r="J27" s="31"/>
      <c r="K27" s="31"/>
      <c r="L27" s="50"/>
    </row>
    <row r="28" spans="1:13" ht="27.6" x14ac:dyDescent="0.3">
      <c r="A28" s="25">
        <f t="shared" si="1"/>
        <v>26</v>
      </c>
      <c r="B28" s="26"/>
      <c r="C28" s="60" t="str">
        <f>+'заказ-order'!B95</f>
        <v xml:space="preserve">Шампунь для волос INTENSIVE «Éclair»,  410 мл / Shampoo for hair  </v>
      </c>
      <c r="D28" s="27"/>
      <c r="E28" s="27"/>
      <c r="F28" s="28"/>
      <c r="G28" s="29"/>
      <c r="H28" s="28"/>
      <c r="I28" s="30"/>
      <c r="J28" s="31"/>
      <c r="K28" s="31"/>
      <c r="L28" s="50"/>
    </row>
    <row r="29" spans="1:13" x14ac:dyDescent="0.3">
      <c r="A29" s="25">
        <f t="shared" si="1"/>
        <v>27</v>
      </c>
      <c r="B29" s="26"/>
      <c r="C29" s="60" t="e">
        <f>+'заказ-order'!#REF!</f>
        <v>#REF!</v>
      </c>
      <c r="D29" s="27"/>
      <c r="E29" s="27"/>
      <c r="F29" s="28"/>
      <c r="G29" s="29"/>
      <c r="H29" s="28"/>
      <c r="I29" s="30"/>
      <c r="J29" s="31"/>
      <c r="K29" s="31"/>
      <c r="L29" s="50"/>
    </row>
    <row r="30" spans="1:13" ht="27.6" x14ac:dyDescent="0.3">
      <c r="A30" s="25">
        <f t="shared" si="1"/>
        <v>28</v>
      </c>
      <c r="B30" s="26"/>
      <c r="C30" s="60" t="str">
        <f>+'заказ-order'!B201</f>
        <v xml:space="preserve">Детский шампунь "HANY" «Éclair Kids» 240мл /                                                    Baby shampoo "HANY" «Éclair Kids» </v>
      </c>
      <c r="D30" s="27"/>
      <c r="E30" s="27"/>
      <c r="F30" s="28"/>
      <c r="G30" s="29"/>
      <c r="H30" s="28"/>
      <c r="I30" s="30"/>
      <c r="J30" s="31"/>
      <c r="K30" s="31"/>
      <c r="L30" s="50"/>
    </row>
    <row r="31" spans="1:13" ht="27.6" x14ac:dyDescent="0.3">
      <c r="A31" s="25">
        <f t="shared" si="1"/>
        <v>29</v>
      </c>
      <c r="B31" s="26"/>
      <c r="C31" s="60" t="str">
        <f>+'заказ-order'!B203</f>
        <v>Детскый шампунь без алергенный с экстрактом ромашки /                                                  Allergenic-free baby shampoo with chamomile extract</v>
      </c>
      <c r="D31" s="27"/>
      <c r="E31" s="27"/>
      <c r="F31" s="28"/>
      <c r="G31" s="29"/>
      <c r="H31" s="28"/>
      <c r="I31" s="30"/>
      <c r="J31" s="31"/>
      <c r="K31" s="31"/>
      <c r="L31" s="50"/>
    </row>
    <row r="32" spans="1:13" x14ac:dyDescent="0.3">
      <c r="A32" s="25">
        <f t="shared" si="1"/>
        <v>30</v>
      </c>
      <c r="B32" s="26"/>
      <c r="C32" s="61" t="e">
        <f>+'заказ-order'!#REF!</f>
        <v>#REF!</v>
      </c>
      <c r="D32" s="27"/>
      <c r="E32" s="27"/>
      <c r="F32" s="28"/>
      <c r="G32" s="29"/>
      <c r="H32" s="28"/>
      <c r="I32" s="30"/>
      <c r="J32" s="31"/>
      <c r="K32" s="31"/>
      <c r="L32" s="50"/>
    </row>
    <row r="33" spans="1:13" x14ac:dyDescent="0.3">
      <c r="A33" s="25">
        <f t="shared" si="1"/>
        <v>31</v>
      </c>
      <c r="B33" s="26"/>
      <c r="C33" s="60" t="e">
        <f>+'заказ-order'!#REF!</f>
        <v>#REF!</v>
      </c>
      <c r="D33" s="41"/>
      <c r="E33" s="41"/>
      <c r="F33" s="42"/>
      <c r="G33" s="29"/>
      <c r="H33" s="28"/>
      <c r="I33" s="30"/>
      <c r="J33" s="31"/>
      <c r="K33" s="31"/>
      <c r="L33" s="50"/>
    </row>
    <row r="34" spans="1:13" x14ac:dyDescent="0.3">
      <c r="A34" s="25">
        <f t="shared" si="1"/>
        <v>32</v>
      </c>
      <c r="B34" s="26"/>
      <c r="C34" s="61" t="e">
        <f>+'заказ-order'!#REF!</f>
        <v>#REF!</v>
      </c>
      <c r="D34" s="41"/>
      <c r="E34" s="41"/>
      <c r="F34" s="42"/>
      <c r="G34" s="29"/>
      <c r="H34" s="28"/>
      <c r="I34" s="30"/>
      <c r="J34" s="31"/>
      <c r="K34" s="31"/>
      <c r="L34" s="50"/>
    </row>
    <row r="35" spans="1:13" ht="27.6" x14ac:dyDescent="0.3">
      <c r="A35" s="25">
        <f t="shared" si="1"/>
        <v>33</v>
      </c>
      <c r="B35" s="26"/>
      <c r="C35" s="60" t="str">
        <f>+'заказ-order'!B85</f>
        <v xml:space="preserve">Осветлитель для волос "Super Blond", в саше пакетиках /                                                Hair bleaching "Super Blond", sachet package </v>
      </c>
      <c r="D35" s="41"/>
      <c r="E35" s="41"/>
      <c r="F35" s="42"/>
      <c r="G35" s="43"/>
      <c r="H35" s="28"/>
      <c r="I35" s="30"/>
      <c r="J35" s="31"/>
      <c r="K35" s="31"/>
      <c r="L35" s="50"/>
    </row>
    <row r="36" spans="1:13" ht="27.6" x14ac:dyDescent="0.3">
      <c r="A36" s="25">
        <f t="shared" si="1"/>
        <v>34</v>
      </c>
      <c r="B36" s="26"/>
      <c r="C36" s="60" t="str">
        <f>+'заказ-order'!B86</f>
        <v xml:space="preserve">Осветлитель для волосm"Ultra Blond" в саше пакетиках /                                                     Super Hair bleaching "Ultra Blond" , sachet package </v>
      </c>
      <c r="D36" s="27"/>
      <c r="E36" s="27"/>
      <c r="F36" s="28"/>
      <c r="G36" s="43"/>
      <c r="H36" s="28"/>
      <c r="I36" s="30"/>
      <c r="J36" s="31"/>
      <c r="K36" s="31"/>
      <c r="L36" s="50"/>
    </row>
    <row r="37" spans="1:13" x14ac:dyDescent="0.3">
      <c r="A37" s="25">
        <f t="shared" si="1"/>
        <v>35</v>
      </c>
      <c r="B37" s="26"/>
      <c r="C37" s="60" t="e">
        <f>+'заказ-order'!#REF!</f>
        <v>#REF!</v>
      </c>
      <c r="D37" s="41"/>
      <c r="E37" s="41"/>
      <c r="F37" s="42"/>
      <c r="G37" s="43"/>
      <c r="H37" s="28"/>
      <c r="I37" s="30"/>
      <c r="J37" s="31"/>
      <c r="K37" s="31"/>
      <c r="L37" s="50"/>
      <c r="M37" s="20">
        <f>+H37/8</f>
        <v>0</v>
      </c>
    </row>
    <row r="38" spans="1:13" x14ac:dyDescent="0.3">
      <c r="A38" s="25">
        <f t="shared" si="1"/>
        <v>36</v>
      </c>
      <c r="B38" s="26"/>
      <c r="C38" s="60" t="e">
        <f>+'заказ-order'!#REF!</f>
        <v>#REF!</v>
      </c>
      <c r="D38" s="41"/>
      <c r="E38" s="41"/>
      <c r="F38" s="42"/>
      <c r="G38" s="43"/>
      <c r="H38" s="28"/>
      <c r="I38" s="30"/>
      <c r="J38" s="31"/>
      <c r="K38" s="31"/>
      <c r="L38" s="50"/>
    </row>
    <row r="39" spans="1:13" x14ac:dyDescent="0.3">
      <c r="A39" s="25">
        <f t="shared" si="1"/>
        <v>37</v>
      </c>
      <c r="B39" s="26"/>
      <c r="C39" s="60" t="e">
        <f>+'заказ-order'!#REF!</f>
        <v>#REF!</v>
      </c>
      <c r="D39" s="41"/>
      <c r="E39" s="41"/>
      <c r="F39" s="42"/>
      <c r="G39" s="43"/>
      <c r="H39" s="28"/>
      <c r="I39" s="30"/>
      <c r="J39" s="31"/>
      <c r="K39" s="31"/>
      <c r="L39" s="50"/>
    </row>
    <row r="40" spans="1:13" x14ac:dyDescent="0.3">
      <c r="A40" s="25">
        <f t="shared" si="1"/>
        <v>38</v>
      </c>
      <c r="B40" s="26"/>
      <c r="C40" s="60" t="e">
        <f>+'заказ-order'!#REF!</f>
        <v>#REF!</v>
      </c>
      <c r="D40" s="41"/>
      <c r="E40" s="41"/>
      <c r="F40" s="42"/>
      <c r="G40" s="29"/>
      <c r="H40" s="28"/>
      <c r="I40" s="30"/>
      <c r="J40" s="31"/>
      <c r="K40" s="31"/>
      <c r="L40" s="50"/>
    </row>
    <row r="41" spans="1:13" x14ac:dyDescent="0.3">
      <c r="A41" s="25">
        <f t="shared" si="1"/>
        <v>39</v>
      </c>
      <c r="B41" s="26"/>
      <c r="C41" s="60" t="e">
        <f>+'заказ-order'!#REF!</f>
        <v>#REF!</v>
      </c>
      <c r="D41" s="41"/>
      <c r="E41" s="41"/>
      <c r="F41" s="42"/>
      <c r="G41" s="43"/>
      <c r="H41" s="28"/>
      <c r="I41" s="30"/>
      <c r="J41" s="31"/>
      <c r="K41" s="31"/>
      <c r="L41" s="50"/>
    </row>
    <row r="42" spans="1:13" x14ac:dyDescent="0.3">
      <c r="A42" s="25">
        <f t="shared" si="1"/>
        <v>40</v>
      </c>
      <c r="B42" s="26"/>
      <c r="C42" s="60" t="e">
        <f>+'заказ-order'!#REF!</f>
        <v>#REF!</v>
      </c>
      <c r="D42" s="27"/>
      <c r="E42" s="27"/>
      <c r="F42" s="28"/>
      <c r="G42" s="29"/>
      <c r="H42" s="28"/>
      <c r="I42" s="30"/>
      <c r="J42" s="31"/>
      <c r="K42" s="31"/>
      <c r="L42" s="50"/>
    </row>
    <row r="43" spans="1:13" ht="27.6" x14ac:dyDescent="0.3">
      <c r="A43" s="25">
        <f t="shared" si="1"/>
        <v>41</v>
      </c>
      <c r="B43" s="26"/>
      <c r="C43" s="60" t="str">
        <f>+'заказ-order'!B268</f>
        <v>Крем - депилятор «Éclair», в тубах по 125 мл /                                                         Cream - depilatory «Éclair», in tubes</v>
      </c>
      <c r="D43" s="41"/>
      <c r="E43" s="41"/>
      <c r="F43" s="42"/>
      <c r="G43" s="43"/>
      <c r="H43" s="28"/>
      <c r="I43" s="30"/>
      <c r="J43" s="31"/>
      <c r="K43" s="31"/>
      <c r="L43" s="50"/>
    </row>
    <row r="44" spans="1:13" ht="27.6" x14ac:dyDescent="0.3">
      <c r="A44" s="25">
        <f t="shared" si="1"/>
        <v>42</v>
      </c>
      <c r="B44" s="26"/>
      <c r="C44" s="60" t="str">
        <f>+'заказ-order'!B272</f>
        <v>Крем - депилятор «Éclair», в тубах по 75 мл /                                                      Cream - depilatory «Éclair», in tubes</v>
      </c>
      <c r="D44" s="27"/>
      <c r="E44" s="27"/>
      <c r="F44" s="28"/>
      <c r="G44" s="43"/>
      <c r="H44" s="42"/>
      <c r="I44" s="30"/>
      <c r="J44" s="31"/>
      <c r="K44" s="31"/>
      <c r="L44" s="50"/>
    </row>
    <row r="45" spans="1:13" ht="27.6" x14ac:dyDescent="0.3">
      <c r="A45" s="25">
        <f t="shared" si="1"/>
        <v>43</v>
      </c>
      <c r="B45" s="26"/>
      <c r="C45" s="60" t="str">
        <f>+'заказ-order'!B112</f>
        <v>Шампунь для волос SPUMA «Éclair» 400 мл / Shampoos for hair SPUMA</v>
      </c>
      <c r="D45" s="27"/>
      <c r="E45" s="27"/>
      <c r="F45" s="28"/>
      <c r="G45" s="43"/>
      <c r="H45" s="42"/>
      <c r="I45" s="30"/>
      <c r="J45" s="31"/>
      <c r="K45" s="31"/>
      <c r="L45" s="50"/>
    </row>
    <row r="46" spans="1:13" x14ac:dyDescent="0.3">
      <c r="A46" s="25">
        <f>+A45+1</f>
        <v>44</v>
      </c>
      <c r="B46" s="26"/>
      <c r="C46" s="60" t="e">
        <f>+'заказ-order'!#REF!</f>
        <v>#REF!</v>
      </c>
      <c r="D46" s="27"/>
      <c r="E46" s="27"/>
      <c r="F46" s="28"/>
      <c r="G46" s="43"/>
      <c r="H46" s="42"/>
      <c r="I46" s="30"/>
      <c r="J46" s="31"/>
      <c r="K46" s="31"/>
      <c r="L46" s="50"/>
    </row>
    <row r="47" spans="1:13" ht="27.6" x14ac:dyDescent="0.3">
      <c r="A47" s="25">
        <f>+A46+1</f>
        <v>45</v>
      </c>
      <c r="B47" s="26"/>
      <c r="C47" s="60" t="str">
        <f>+'заказ-order'!B126</f>
        <v>Бальзамов-ополаскиватель для волос SPUMA «Éclair», 500 мл /                             Hair balm-conditioner SPUMA «Éclair»</v>
      </c>
      <c r="D47" s="27"/>
      <c r="E47" s="27"/>
      <c r="F47" s="28"/>
      <c r="G47" s="43"/>
      <c r="H47" s="42"/>
      <c r="I47" s="30"/>
      <c r="J47" s="31"/>
      <c r="K47" s="31"/>
      <c r="L47" s="50"/>
    </row>
    <row r="48" spans="1:13" x14ac:dyDescent="0.3">
      <c r="A48" s="25">
        <f>+A47+1</f>
        <v>46</v>
      </c>
      <c r="B48" s="26"/>
      <c r="C48" s="60" t="e">
        <f>+'заказ-order'!#REF!</f>
        <v>#REF!</v>
      </c>
      <c r="D48" s="27"/>
      <c r="E48" s="27"/>
      <c r="F48" s="28"/>
      <c r="G48" s="43"/>
      <c r="H48" s="42"/>
      <c r="I48" s="30"/>
      <c r="J48" s="31"/>
      <c r="K48" s="31"/>
      <c r="L48" s="50"/>
    </row>
    <row r="49" spans="1:12" x14ac:dyDescent="0.3">
      <c r="A49" s="25">
        <f t="shared" ref="A49:A71" si="2">+A48+1</f>
        <v>47</v>
      </c>
      <c r="B49" s="26"/>
      <c r="C49" s="60" t="e">
        <f>+'заказ-order'!#REF!</f>
        <v>#REF!</v>
      </c>
      <c r="D49" s="27"/>
      <c r="E49" s="27"/>
      <c r="F49" s="28"/>
      <c r="G49" s="43"/>
      <c r="H49" s="42"/>
      <c r="I49" s="30"/>
      <c r="J49" s="31"/>
      <c r="K49" s="31"/>
      <c r="L49" s="50"/>
    </row>
    <row r="50" spans="1:12" x14ac:dyDescent="0.3">
      <c r="A50" s="25">
        <f t="shared" si="2"/>
        <v>48</v>
      </c>
      <c r="B50" s="26"/>
      <c r="C50" s="61" t="e">
        <f>+'заказ-order'!#REF!</f>
        <v>#REF!</v>
      </c>
      <c r="D50" s="27"/>
      <c r="E50" s="27"/>
      <c r="F50" s="28"/>
      <c r="G50" s="43"/>
      <c r="H50" s="42"/>
      <c r="I50" s="30"/>
      <c r="J50" s="31"/>
      <c r="K50" s="31"/>
      <c r="L50" s="50"/>
    </row>
    <row r="51" spans="1:12" x14ac:dyDescent="0.3">
      <c r="A51" s="25">
        <f t="shared" si="2"/>
        <v>49</v>
      </c>
      <c r="B51" s="26"/>
      <c r="C51" s="60" t="str">
        <f>+'заказ-order'!B104</f>
        <v xml:space="preserve">Бальзам для волос «Éclair» 900 мл / Hair balm «Éclair» </v>
      </c>
      <c r="D51" s="27"/>
      <c r="E51" s="27"/>
      <c r="F51" s="28"/>
      <c r="G51" s="43"/>
      <c r="H51" s="42"/>
      <c r="I51" s="30"/>
      <c r="J51" s="31"/>
      <c r="K51" s="31"/>
      <c r="L51" s="50"/>
    </row>
    <row r="52" spans="1:12" x14ac:dyDescent="0.3">
      <c r="A52" s="25">
        <f t="shared" si="2"/>
        <v>50</v>
      </c>
      <c r="B52" s="26"/>
      <c r="C52" s="61" t="str">
        <f>+'заказ-order'!B310</f>
        <v>Туалетные мыла «Éclair»  70 г  / Toilet soaps «Éclair»</v>
      </c>
      <c r="D52" s="27"/>
      <c r="E52" s="27"/>
      <c r="F52" s="28"/>
      <c r="G52" s="43"/>
      <c r="H52" s="42"/>
      <c r="I52" s="30"/>
      <c r="J52" s="31"/>
      <c r="K52" s="31"/>
      <c r="L52" s="50"/>
    </row>
    <row r="53" spans="1:12" x14ac:dyDescent="0.3">
      <c r="A53" s="25">
        <f t="shared" si="2"/>
        <v>51</v>
      </c>
      <c r="B53" s="26"/>
      <c r="C53" s="61" t="str">
        <f>+'заказ-order'!B312</f>
        <v>Туалетные мыла «Éclair»  90 г  / Toilet soaps «Éclair»</v>
      </c>
      <c r="D53" s="27"/>
      <c r="E53" s="27"/>
      <c r="F53" s="28"/>
      <c r="G53" s="43"/>
      <c r="H53" s="42"/>
      <c r="I53" s="30"/>
      <c r="J53" s="31"/>
      <c r="K53" s="31"/>
      <c r="L53" s="50"/>
    </row>
    <row r="54" spans="1:12" x14ac:dyDescent="0.3">
      <c r="A54" s="25">
        <f t="shared" si="2"/>
        <v>52</v>
      </c>
      <c r="B54" s="26"/>
      <c r="C54" s="61" t="str">
        <f>+'заказ-order'!B321</f>
        <v>Туалетные мыла «Éclair»  140 г  / Toilet soaps «Éclair»</v>
      </c>
      <c r="D54" s="27"/>
      <c r="E54" s="27"/>
      <c r="F54" s="28"/>
      <c r="G54" s="43"/>
      <c r="H54" s="42"/>
      <c r="I54" s="30"/>
      <c r="J54" s="31"/>
      <c r="K54" s="31"/>
      <c r="L54" s="50"/>
    </row>
    <row r="55" spans="1:12" x14ac:dyDescent="0.3">
      <c r="A55" s="25">
        <f t="shared" si="2"/>
        <v>53</v>
      </c>
      <c r="B55" s="26"/>
      <c r="C55" s="61" t="str">
        <f>+'заказ-order'!B330</f>
        <v>Туалетные мыла «Éclair»  170 г  / Toilet soaps «Éclair»</v>
      </c>
      <c r="D55" s="27"/>
      <c r="E55" s="27"/>
      <c r="F55" s="28"/>
      <c r="G55" s="43"/>
      <c r="H55" s="42"/>
      <c r="I55" s="30"/>
      <c r="J55" s="31"/>
      <c r="K55" s="31"/>
      <c r="L55" s="50"/>
    </row>
    <row r="56" spans="1:12" ht="27.6" x14ac:dyDescent="0.3">
      <c r="A56" s="25">
        <f t="shared" si="2"/>
        <v>54</v>
      </c>
      <c r="B56" s="26"/>
      <c r="C56" s="61" t="str">
        <f>+'заказ-order'!B339</f>
        <v>Универсальное хозяйственное мыло «Éclair» "BARG" 175 гр  /                          Universal Laundry soap «Éclair» "BARG"</v>
      </c>
      <c r="D56" s="27"/>
      <c r="E56" s="27"/>
      <c r="F56" s="28"/>
      <c r="G56" s="43"/>
      <c r="H56" s="42"/>
      <c r="I56" s="30"/>
      <c r="J56" s="31"/>
      <c r="K56" s="31"/>
      <c r="L56" s="50"/>
    </row>
    <row r="57" spans="1:12" x14ac:dyDescent="0.3">
      <c r="A57" s="25">
        <f t="shared" si="2"/>
        <v>55</v>
      </c>
      <c r="B57" s="26"/>
      <c r="C57" s="60" t="e">
        <f>+'заказ-order'!#REF!</f>
        <v>#REF!</v>
      </c>
      <c r="D57" s="27"/>
      <c r="E57" s="27"/>
      <c r="F57" s="28"/>
      <c r="G57" s="43"/>
      <c r="H57" s="42"/>
      <c r="I57" s="30"/>
      <c r="J57" s="31"/>
      <c r="K57" s="31"/>
      <c r="L57" s="50"/>
    </row>
    <row r="58" spans="1:12" ht="27.6" x14ac:dyDescent="0.3">
      <c r="A58" s="25">
        <f t="shared" si="2"/>
        <v>56</v>
      </c>
      <c r="B58" s="26"/>
      <c r="C58" s="61" t="str">
        <f>+'заказ-order'!B229</f>
        <v>Шампунь для волос  "ELETT" «Éclair» 380 мл /                                                Shampoo for hair "ELETT" «Éclair»</v>
      </c>
      <c r="D58" s="27"/>
      <c r="E58" s="27"/>
      <c r="F58" s="28"/>
      <c r="G58" s="43"/>
      <c r="H58" s="42"/>
      <c r="I58" s="30"/>
      <c r="J58" s="31"/>
      <c r="K58" s="31"/>
      <c r="L58" s="50"/>
    </row>
    <row r="59" spans="1:12" x14ac:dyDescent="0.3">
      <c r="A59" s="25">
        <f t="shared" si="2"/>
        <v>57</v>
      </c>
      <c r="B59" s="26"/>
      <c r="C59" s="60" t="e">
        <f>+'заказ-order'!#REF!</f>
        <v>#REF!</v>
      </c>
      <c r="D59" s="27"/>
      <c r="E59" s="27"/>
      <c r="F59" s="28"/>
      <c r="G59" s="43"/>
      <c r="H59" s="42"/>
      <c r="I59" s="30"/>
      <c r="J59" s="31"/>
      <c r="K59" s="31"/>
      <c r="L59" s="50"/>
    </row>
    <row r="60" spans="1:12" x14ac:dyDescent="0.3">
      <c r="A60" s="25">
        <f t="shared" si="2"/>
        <v>58</v>
      </c>
      <c r="B60" s="26"/>
      <c r="C60" s="60" t="e">
        <f>+'заказ-order'!#REF!</f>
        <v>#REF!</v>
      </c>
      <c r="D60" s="27"/>
      <c r="E60" s="27"/>
      <c r="F60" s="28"/>
      <c r="G60" s="43"/>
      <c r="H60" s="42"/>
      <c r="I60" s="30"/>
      <c r="J60" s="31"/>
      <c r="K60" s="31"/>
      <c r="L60" s="50"/>
    </row>
    <row r="61" spans="1:12" x14ac:dyDescent="0.3">
      <c r="A61" s="25">
        <f t="shared" si="2"/>
        <v>59</v>
      </c>
      <c r="B61" s="26"/>
      <c r="C61" s="60" t="e">
        <f>+'заказ-order'!#REF!</f>
        <v>#REF!</v>
      </c>
      <c r="D61" s="27"/>
      <c r="E61" s="27"/>
      <c r="F61" s="28"/>
      <c r="G61" s="43"/>
      <c r="H61" s="42"/>
      <c r="I61" s="30"/>
      <c r="J61" s="31"/>
      <c r="K61" s="31"/>
      <c r="L61" s="50"/>
    </row>
    <row r="62" spans="1:12" x14ac:dyDescent="0.3">
      <c r="A62" s="25">
        <f t="shared" si="2"/>
        <v>60</v>
      </c>
      <c r="B62" s="26"/>
      <c r="C62" s="60" t="e">
        <f>+'заказ-order'!#REF!</f>
        <v>#REF!</v>
      </c>
      <c r="D62" s="27"/>
      <c r="E62" s="27"/>
      <c r="F62" s="28"/>
      <c r="G62" s="43"/>
      <c r="H62" s="42"/>
      <c r="I62" s="30"/>
      <c r="J62" s="31"/>
      <c r="K62" s="31"/>
      <c r="L62" s="50"/>
    </row>
    <row r="63" spans="1:12" ht="41.4" x14ac:dyDescent="0.3">
      <c r="A63" s="25">
        <f t="shared" si="2"/>
        <v>61</v>
      </c>
      <c r="B63" s="26"/>
      <c r="C63" s="61" t="str">
        <f>+'заказ-order'!B224</f>
        <v>Шампунь для волос "Двойная сила для интенсивного ухода" 400 мл /                         Hair shampoo "Double strength for intensive care" 400 ml</v>
      </c>
      <c r="D63" s="27"/>
      <c r="E63" s="27"/>
      <c r="F63" s="28"/>
      <c r="G63" s="43"/>
      <c r="H63" s="42"/>
      <c r="I63" s="30"/>
      <c r="J63" s="31"/>
      <c r="K63" s="31"/>
      <c r="L63" s="50"/>
    </row>
    <row r="64" spans="1:12" ht="41.4" x14ac:dyDescent="0.3">
      <c r="A64" s="25">
        <f t="shared" si="2"/>
        <v>62</v>
      </c>
      <c r="B64" s="26"/>
      <c r="C64" s="61" t="str">
        <f>+'заказ-order'!B226</f>
        <v>Гель для душа "Комфортное очищение для волос и тела" 250 мл /                              Shower gel "Comfortable cleansing for hair and body" 250 ml</v>
      </c>
      <c r="D64" s="27"/>
      <c r="E64" s="27"/>
      <c r="F64" s="28"/>
      <c r="G64" s="43"/>
      <c r="H64" s="42"/>
      <c r="I64" s="30"/>
      <c r="J64" s="31"/>
      <c r="K64" s="31"/>
      <c r="L64" s="50"/>
    </row>
    <row r="65" spans="1:12" ht="41.4" x14ac:dyDescent="0.3">
      <c r="A65" s="25">
        <f t="shared" si="2"/>
        <v>63</v>
      </c>
      <c r="B65" s="26"/>
      <c r="C65" s="61" t="str">
        <f>+'заказ-order'!B225</f>
        <v>Бальзам-ополаскиватель для поврежденных и туслых волос 240 мл  /                             Balm -conditioner for damaged and dull hair 240 ml</v>
      </c>
      <c r="D65" s="27"/>
      <c r="E65" s="27"/>
      <c r="F65" s="28"/>
      <c r="G65" s="43"/>
      <c r="H65" s="42"/>
      <c r="I65" s="30"/>
      <c r="J65" s="31"/>
      <c r="K65" s="31"/>
      <c r="L65" s="50"/>
    </row>
    <row r="66" spans="1:12" ht="27.6" x14ac:dyDescent="0.3">
      <c r="A66" s="25">
        <f t="shared" si="2"/>
        <v>64</v>
      </c>
      <c r="B66" s="26"/>
      <c r="C66" s="61" t="str">
        <f>+'заказ-order'!B227</f>
        <v xml:space="preserve">Бальзам после бритья "Увлажнение и питание" 140 мл /                                                After shave balm "Moisturizing and nutrition" 140 ml </v>
      </c>
      <c r="D66" s="27"/>
      <c r="E66" s="27"/>
      <c r="F66" s="28"/>
      <c r="G66" s="43"/>
      <c r="H66" s="42"/>
      <c r="I66" s="30"/>
      <c r="J66" s="31"/>
      <c r="K66" s="31"/>
      <c r="L66" s="50"/>
    </row>
    <row r="67" spans="1:12" ht="27.6" x14ac:dyDescent="0.3">
      <c r="A67" s="25">
        <f t="shared" si="2"/>
        <v>65</v>
      </c>
      <c r="B67" s="26"/>
      <c r="C67" s="61" t="str">
        <f>+'заказ-order'!B343</f>
        <v>Средство для мытья посуды "Лимон" 500 мл / Dishwashing liquid "Lemon" 500 ml</v>
      </c>
      <c r="D67" s="27"/>
      <c r="E67" s="27"/>
      <c r="F67" s="28"/>
      <c r="G67" s="43"/>
      <c r="H67" s="42"/>
      <c r="I67" s="30"/>
      <c r="J67" s="31"/>
      <c r="K67" s="31"/>
      <c r="L67" s="50"/>
    </row>
    <row r="68" spans="1:12" ht="27.6" x14ac:dyDescent="0.3">
      <c r="A68" s="25">
        <f t="shared" si="2"/>
        <v>66</v>
      </c>
      <c r="B68" s="26"/>
      <c r="C68" s="61" t="str">
        <f>+'заказ-order'!B344</f>
        <v>Средство для мытья посуды "Яблоко" 500 мл / Dishwashing liquid "Apple" 500 ml</v>
      </c>
      <c r="D68" s="27"/>
      <c r="E68" s="27"/>
      <c r="F68" s="28"/>
      <c r="G68" s="43"/>
      <c r="H68" s="42"/>
      <c r="I68" s="30"/>
      <c r="J68" s="31"/>
      <c r="K68" s="31"/>
      <c r="L68" s="50"/>
    </row>
    <row r="69" spans="1:12" ht="27.6" x14ac:dyDescent="0.3">
      <c r="A69" s="25">
        <f t="shared" si="2"/>
        <v>67</v>
      </c>
      <c r="B69" s="26"/>
      <c r="C69" s="61" t="str">
        <f>+'заказ-order'!B345</f>
        <v>Средство для очистки стекол и зеркал 500 мл / Glass and mirror cleaner 500 ml</v>
      </c>
      <c r="D69" s="27"/>
      <c r="E69" s="27"/>
      <c r="F69" s="28"/>
      <c r="G69" s="43"/>
      <c r="H69" s="42"/>
      <c r="I69" s="30"/>
      <c r="J69" s="31"/>
      <c r="K69" s="31"/>
      <c r="L69" s="50"/>
    </row>
    <row r="70" spans="1:12" ht="27.6" x14ac:dyDescent="0.3">
      <c r="A70" s="25">
        <f t="shared" si="2"/>
        <v>68</v>
      </c>
      <c r="B70" s="26"/>
      <c r="C70" s="61" t="str">
        <f>+'заказ-order'!B346</f>
        <v>Универсальное средство для кухни 500 мл / Universal kitchen cleaner 500 ml</v>
      </c>
      <c r="D70" s="27"/>
      <c r="E70" s="27"/>
      <c r="F70" s="28"/>
      <c r="G70" s="43"/>
      <c r="H70" s="42"/>
      <c r="I70" s="30"/>
      <c r="J70" s="31"/>
      <c r="K70" s="31"/>
      <c r="L70" s="50"/>
    </row>
    <row r="71" spans="1:12" ht="41.4" x14ac:dyDescent="0.3">
      <c r="A71" s="25">
        <f t="shared" si="2"/>
        <v>69</v>
      </c>
      <c r="B71" s="26"/>
      <c r="C71" s="61" t="str">
        <f>+'заказ-order'!B347</f>
        <v>Средство для удаления жира, нагара и копоти "Анти-жир Чистый казан" 500 мл  / Grease, soot and soot remover "Анти-жир Чистый казан"  500 ml</v>
      </c>
      <c r="D71" s="27"/>
      <c r="E71" s="27"/>
      <c r="F71" s="28"/>
      <c r="G71" s="43"/>
      <c r="H71" s="42"/>
      <c r="I71" s="30"/>
      <c r="J71" s="31"/>
      <c r="K71" s="31"/>
      <c r="L71" s="50"/>
    </row>
    <row r="72" spans="1:12" x14ac:dyDescent="0.3">
      <c r="A72" s="25"/>
      <c r="B72" s="21"/>
      <c r="C72" s="60"/>
      <c r="D72" s="27"/>
      <c r="E72" s="27"/>
      <c r="F72" s="27"/>
      <c r="G72" s="33" t="s">
        <v>8</v>
      </c>
      <c r="H72" s="34"/>
      <c r="I72" s="35" t="e">
        <f>SUM(I3:I46)</f>
        <v>#REF!</v>
      </c>
      <c r="J72" s="35" t="e">
        <f>SUM(J3:J46)</f>
        <v>#REF!</v>
      </c>
      <c r="K72" s="35"/>
      <c r="L72" s="35" t="e">
        <f>SUM(L3:L46)</f>
        <v>#REF!</v>
      </c>
    </row>
    <row r="73" spans="1:12" x14ac:dyDescent="0.3">
      <c r="F73" s="37"/>
      <c r="G73" s="38"/>
      <c r="H73" s="51"/>
      <c r="L73" s="20"/>
    </row>
    <row r="74" spans="1:12" x14ac:dyDescent="0.3">
      <c r="F74" s="37"/>
      <c r="G74" s="38"/>
      <c r="H74" s="51"/>
      <c r="L74" s="20"/>
    </row>
    <row r="75" spans="1:12" ht="13.2" x14ac:dyDescent="0.25">
      <c r="F75" s="20"/>
      <c r="G75" s="20"/>
      <c r="H75" s="20"/>
      <c r="I75" s="20"/>
      <c r="J75" s="20"/>
      <c r="K75" s="20"/>
      <c r="L75" s="20"/>
    </row>
    <row r="76" spans="1:12" x14ac:dyDescent="0.3">
      <c r="F76" s="37"/>
      <c r="G76" s="38"/>
      <c r="H76" s="51"/>
      <c r="L76" s="20"/>
    </row>
  </sheetData>
  <sheetProtection selectLockedCells="1" selectUnlockedCells="1"/>
  <mergeCells count="1">
    <mergeCell ref="D1:L1"/>
  </mergeCells>
  <phoneticPr fontId="10" type="noConversion"/>
  <pageMargins left="3.937007874015748E-2" right="0" top="0" bottom="0" header="0.51181102362204722" footer="0.51181102362204722"/>
  <pageSetup paperSize="9" scale="78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заказ-order</vt:lpstr>
      <vt:lpstr>логист.данные  logistic dim</vt:lpstr>
      <vt:lpstr>логист.данные  logistic dimenst</vt:lpstr>
      <vt:lpstr>'заказ-order'!Область_печати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oshevchenko</dc:creator>
  <cp:lastModifiedBy>Улан Айдаралиев</cp:lastModifiedBy>
  <cp:lastPrinted>2024-10-05T06:12:47Z</cp:lastPrinted>
  <dcterms:created xsi:type="dcterms:W3CDTF">2008-09-16T09:49:05Z</dcterms:created>
  <dcterms:modified xsi:type="dcterms:W3CDTF">2026-09-28T06:06:18Z</dcterms:modified>
</cp:coreProperties>
</file>